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\Desktop\"/>
    </mc:Choice>
  </mc:AlternateContent>
  <xr:revisionPtr revIDLastSave="0" documentId="13_ncr:1_{8129B841-64CF-426B-9D64-7ACACA767DB7}" xr6:coauthVersionLast="47" xr6:coauthVersionMax="47" xr10:uidLastSave="{00000000-0000-0000-0000-000000000000}"/>
  <bookViews>
    <workbookView xWindow="23929" yWindow="-113" windowWidth="24267" windowHeight="13749" activeTab="4" xr2:uid="{8E057C3F-2BDD-44FC-A9DA-F87F35BC89D1}"/>
  </bookViews>
  <sheets>
    <sheet name="Raw Data" sheetId="1" r:id="rId1"/>
    <sheet name="Cleaned Data" sheetId="2" r:id="rId2"/>
    <sheet name="Data Quality Log" sheetId="3" r:id="rId3"/>
    <sheet name="Summary" sheetId="4" r:id="rId4"/>
    <sheet name="Dashboard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" i="5" l="1"/>
  <c r="O6" i="5"/>
  <c r="Q7" i="5"/>
  <c r="P7" i="5" s="1"/>
  <c r="L20" i="5"/>
  <c r="L19" i="5"/>
  <c r="L18" i="5"/>
  <c r="L17" i="5"/>
  <c r="M13" i="5"/>
  <c r="L13" i="5"/>
  <c r="M9" i="5"/>
  <c r="L9" i="5"/>
  <c r="M8" i="5"/>
  <c r="L8" i="5"/>
  <c r="M7" i="5"/>
  <c r="L7" i="5"/>
  <c r="L16" i="5"/>
  <c r="M12" i="5"/>
  <c r="L12" i="5"/>
  <c r="M6" i="5"/>
  <c r="L6" i="5"/>
  <c r="I3" i="5"/>
  <c r="G3" i="5"/>
  <c r="E3" i="5"/>
  <c r="C3" i="5" a="1"/>
  <c r="C3" i="5" s="1"/>
  <c r="A3" i="5"/>
  <c r="B4" i="4"/>
  <c r="B5" i="4" a="1"/>
  <c r="B5" i="4" s="1"/>
  <c r="B6" i="4" a="1"/>
  <c r="B6" i="4" s="1"/>
  <c r="B7" i="4" s="1"/>
  <c r="B10" i="4"/>
  <c r="B11" i="4"/>
  <c r="B12" i="4"/>
  <c r="B15" i="4"/>
  <c r="B16" i="4"/>
  <c r="B17" i="4"/>
  <c r="B18" i="4"/>
  <c r="B21" i="4"/>
  <c r="B22" i="4"/>
  <c r="B23" i="4"/>
  <c r="B24" i="4"/>
  <c r="B27" i="4"/>
  <c r="B28" i="4"/>
  <c r="B29" i="4"/>
  <c r="B33" i="4"/>
  <c r="C33" i="4"/>
  <c r="B34" i="4"/>
  <c r="C34" i="4"/>
  <c r="B35" i="4"/>
  <c r="C35" i="4"/>
  <c r="B36" i="4"/>
  <c r="C36" i="4"/>
  <c r="Q8" i="5" l="1"/>
  <c r="P8" i="5" s="1"/>
  <c r="O7" i="5"/>
  <c r="Q9" i="5" l="1"/>
  <c r="O8" i="5"/>
  <c r="Q10" i="5" l="1"/>
  <c r="P9" i="5"/>
  <c r="O9" i="5"/>
  <c r="Q11" i="5" l="1"/>
  <c r="O10" i="5"/>
  <c r="P10" i="5"/>
  <c r="Q12" i="5" l="1"/>
  <c r="O11" i="5"/>
  <c r="P11" i="5"/>
  <c r="Q13" i="5" l="1"/>
  <c r="O12" i="5"/>
  <c r="P12" i="5"/>
  <c r="Q14" i="5" l="1"/>
  <c r="O13" i="5"/>
  <c r="P13" i="5"/>
  <c r="Q15" i="5" l="1"/>
  <c r="O14" i="5"/>
  <c r="P14" i="5"/>
  <c r="Q16" i="5" l="1"/>
  <c r="O15" i="5"/>
  <c r="P15" i="5"/>
  <c r="Q17" i="5" l="1"/>
  <c r="O16" i="5"/>
  <c r="P16" i="5"/>
  <c r="Q18" i="5" l="1"/>
  <c r="P17" i="5"/>
  <c r="O17" i="5"/>
  <c r="Q19" i="5" l="1"/>
  <c r="O18" i="5"/>
  <c r="P18" i="5"/>
  <c r="Q20" i="5" l="1"/>
  <c r="O19" i="5"/>
  <c r="P19" i="5"/>
  <c r="Q21" i="5" l="1"/>
  <c r="O20" i="5"/>
  <c r="P20" i="5"/>
  <c r="P21" i="5" l="1"/>
  <c r="O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<sst xmlns="http://schemas.openxmlformats.org/spreadsheetml/2006/main" count="1941" uniqueCount="823">
  <si>
    <t>First Name</t>
  </si>
  <si>
    <t>Last Name</t>
  </si>
  <si>
    <t>transaction</t>
  </si>
  <si>
    <t>nooeukw</t>
  </si>
  <si>
    <t>uuoaklowalb</t>
  </si>
  <si>
    <t>{'tx_id': '5ed3d67b8723c11444c43283', 'tx_date': '2020-06-13T05:28:47.543000Z', 'tx_amount': 6192, 'tx_mode': 'Debit', 'tx_channel': 'web', 'bank_name': 'QBank', 'dob': ['1992-11-10 00:00:00']}</t>
  </si>
  <si>
    <t>angulbo</t>
  </si>
  <si>
    <t>seagn</t>
  </si>
  <si>
    <t>{'tx_id': '5ed3d67b8723c11444c43283', 'tx_date': '2020-06-12T20:22:38.986000Z', 'tx_amount': 38445, 'tx_mode': 'Debit', 'tx_channel': 'mobile', 'bank_name': 'ABank', 'dob': ['n/a']}</t>
  </si>
  <si>
    <t>dukowi</t>
  </si>
  <si>
    <t>eukloomja</t>
  </si>
  <si>
    <t>{'tx_id': '5ed3d67b8723c11444c43283', 'tx_date': '2020-06-13T06:00:46.904000Z', 'tx_amount': 29627, 'tx_mode': 'Debit', 'tx_channel': 'mobile', 'bank_name': 'GBank', 'dob': ['1992-01-01 00:00:00']}</t>
  </si>
  <si>
    <t>ltuoawiob</t>
  </si>
  <si>
    <t>uuilawobmn</t>
  </si>
  <si>
    <t>{'tx_id': '5ed3d67b8723c11444c43283', 'tx_date': '2020-06-13T16:10:51.479000Z', 'tx_amount': 27791, 'tx_mode': 'Debit', 'tx_channel': 'web', 'bank_name': 'KBank', 'dob': ['1981-01-07 00:00:00']}</t>
  </si>
  <si>
    <t>nakuolo</t>
  </si>
  <si>
    <t>donald</t>
  </si>
  <si>
    <t>{'tx_id': '5ed3d67b8723c11444c43283', 'tx_date': '2020-06-13T05:28:47.543000Z', 'tx_amount': 6192, 'tx_mode': 'Debit', 'tx_channel': 'web', 'bank_name': 'QBank', 'dob': ['n/a']}</t>
  </si>
  <si>
    <t>juagn</t>
  </si>
  <si>
    <t>ahcnaiz</t>
  </si>
  <si>
    <t>{'tx_id': '5ed3d67b8723c11444c43283', 'tx_date': '2020-06-12T20:22:38.986000Z', 'tx_amount': 38445, 'tx_mode': 'Debit', 'tx_channel': 'mobile', 'bank_name': 'ABank', 'dob': ['1980-11-22 00:00:00']}</t>
  </si>
  <si>
    <t>eykeneowj</t>
  </si>
  <si>
    <t>ijutdh</t>
  </si>
  <si>
    <t>{'tx_id': '5ed3d67b8723c11444c43283', 'tx_date': '2020-06-13T06:00:46.904000Z', 'tx_amount': 29627, 'tx_mode': 'Debit', 'tx_channel': 'mobile', 'bank_name': 'GBank', 'dob': ['1998-08-20 00:00:00']}</t>
  </si>
  <si>
    <t>ellbo</t>
  </si>
  <si>
    <t>sasahn</t>
  </si>
  <si>
    <t>{'tx_id': '5ed3d67b8723c11444c43283', 'tx_date': '2020-06-13T16:10:51.479000Z', 'tx_amount': 27791, 'tx_mode': 'Debit', 'tx_channel': 'web', 'bank_name': 'KBank', 'dob': ['1976-12-12 00:00:00']}</t>
  </si>
  <si>
    <t>ooadelb</t>
  </si>
  <si>
    <t>ruktam</t>
  </si>
  <si>
    <t>{'tx_id': '5ed3d67b8723c11444c43283', 'tx_date': '2020-06-13T05:28:47.543000Z', 'tx_amount': 6192, 'tx_mode': 'Debit', 'tx_channel': 'web', 'bank_name': 'QBank', 'dob': ['1976-12-12 00:00:00']}</t>
  </si>
  <si>
    <t>ali</t>
  </si>
  <si>
    <t>grgniir kaeouakn</t>
  </si>
  <si>
    <t>ial</t>
  </si>
  <si>
    <t>ubykua</t>
  </si>
  <si>
    <t>{'tx_id': '5ed3d67b8723c11444c43283', 'tx_date': '2020-06-13T06:00:46.904000Z', 'tx_amount': 29627, 'tx_mode': 'Debit', 'tx_channel': 'mobile', 'bank_name': 'GBank', 'dob': ['n/a']}</t>
  </si>
  <si>
    <t>owjoloaur</t>
  </si>
  <si>
    <t>eaoltse</t>
  </si>
  <si>
    <t>{'tx_id': '5ed3d67b8723c11444c43283', 'tx_date': '2020-06-13T16:10:51.479000Z', 'tx_amount': 27791, 'tx_mode': 'Debit', 'tx_channel': 'web', 'bank_name': 'KBank', 'dob': ['n/a']}</t>
  </si>
  <si>
    <t>boadigasm</t>
  </si>
  <si>
    <t>hycknouwyeniu</t>
  </si>
  <si>
    <t>ywmuia</t>
  </si>
  <si>
    <t>oaeuld omyiosalnfula</t>
  </si>
  <si>
    <t>{'tx_id': '5ed3d67b8723c11444c43283', 'tx_date': '2020-06-12T20:22:38.986000Z', 'tx_amount': 38445, 'tx_mode': 'Debit', 'tx_channel': 'mobile', 'bank_name': 'ABank', 'dob': ['1984-06-13 00:00:00']}</t>
  </si>
  <si>
    <t>owug</t>
  </si>
  <si>
    <t>fuatas</t>
  </si>
  <si>
    <t>eaeodkg</t>
  </si>
  <si>
    <t>nloadd</t>
  </si>
  <si>
    <t>adyuns</t>
  </si>
  <si>
    <t>naczhai</t>
  </si>
  <si>
    <t>aiblnafoa</t>
  </si>
  <si>
    <t>ollutoep</t>
  </si>
  <si>
    <t>dokeay</t>
  </si>
  <si>
    <t>egesr jmumoan</t>
  </si>
  <si>
    <t>e okowuhoonw</t>
  </si>
  <si>
    <t>izahbteel</t>
  </si>
  <si>
    <t>imawinuk</t>
  </si>
  <si>
    <t>iadmil</t>
  </si>
  <si>
    <t>kroow</t>
  </si>
  <si>
    <t>odqis</t>
  </si>
  <si>
    <t>oogbnslou</t>
  </si>
  <si>
    <t>lezeeki</t>
  </si>
  <si>
    <t>{'tx_id': '5ed3d67b8723c11444c43283', 'tx_date': '2020-06-13T06:00:46.904000Z', 'tx_amount': 29627, 'tx_mode': 'Debit', 'tx_channel': 'mobile', 'bank_name': 'GBank', 'dob': ['1981-06-27 00:00:00']}</t>
  </si>
  <si>
    <t>oujkn</t>
  </si>
  <si>
    <t>aoiu ulaleafdosmyoln</t>
  </si>
  <si>
    <t>{'tx_id': '5ed3d67b8723c11444c43283', 'tx_date': '2020-06-13T16:10:51.479000Z', 'tx_amount': 27791, 'tx_mode': 'Debit', 'tx_channel': 'web', 'bank_name': 'KBank', 'dob': ['1989-12-29 00:00:00']}</t>
  </si>
  <si>
    <t>aimuwy</t>
  </si>
  <si>
    <t>measj</t>
  </si>
  <si>
    <t>{'tx_id': '5ed3d67b8723c11444c43283', 'tx_date': '2020-06-13T05:28:47.543000Z', 'tx_amount': 6192, 'tx_mode': 'Debit', 'tx_channel': 'web', 'bank_name': 'QBank', 'dob': ['1981-01-07 00:00:00']}</t>
  </si>
  <si>
    <t>anygoeeldu</t>
  </si>
  <si>
    <t>dllaamio</t>
  </si>
  <si>
    <t>uiwdo</t>
  </si>
  <si>
    <t>audelb mllooaialunof</t>
  </si>
  <si>
    <t>yaeikdno</t>
  </si>
  <si>
    <t>o saederifaahbl</t>
  </si>
  <si>
    <t>joo</t>
  </si>
  <si>
    <t>lexce</t>
  </si>
  <si>
    <t>{'tx_id': '5ed3d67b8723c11444c43283', 'tx_date': '2020-06-13T05:28:47.543000Z', 'tx_amount': 6192, 'tx_mode': 'Debit', 'tx_channel': 'web', 'bank_name': 'QBank', 'dob': ['1999-12-23 00:00:00']}</t>
  </si>
  <si>
    <t>oyeewal</t>
  </si>
  <si>
    <t>aimolewfu</t>
  </si>
  <si>
    <t>kruehio</t>
  </si>
  <si>
    <t>rni oisaaubhbd</t>
  </si>
  <si>
    <t>wounlraegob</t>
  </si>
  <si>
    <t>urolmei</t>
  </si>
  <si>
    <t>{'tx_id': '5ed3d67b8723c11444c43283', 'tx_date': '2020-06-13T16:10:51.479000Z', 'tx_amount': 27791, 'tx_mode': 'Debit', 'tx_channel': 'web', 'bank_name': 'KBank', 'dob': ['1979-09-27 00:00:00']}</t>
  </si>
  <si>
    <t>ewneze</t>
  </si>
  <si>
    <t>ibdhcmeu</t>
  </si>
  <si>
    <t>woknueo</t>
  </si>
  <si>
    <t>oienalcr</t>
  </si>
  <si>
    <t>bedriie</t>
  </si>
  <si>
    <t>nsnkloyiaoa</t>
  </si>
  <si>
    <t>loeyowe</t>
  </si>
  <si>
    <t>soqid</t>
  </si>
  <si>
    <t>auwngo</t>
  </si>
  <si>
    <t>raenvcoi</t>
  </si>
  <si>
    <t>loognbosu</t>
  </si>
  <si>
    <t>lsumea</t>
  </si>
  <si>
    <t>eeciknh</t>
  </si>
  <si>
    <t>uaanbeibdt</t>
  </si>
  <si>
    <t>kownoeu</t>
  </si>
  <si>
    <t>epainetc</t>
  </si>
  <si>
    <t>pnduoige</t>
  </si>
  <si>
    <t>nsenai</t>
  </si>
  <si>
    <t>aalbfio</t>
  </si>
  <si>
    <t>alwadee</t>
  </si>
  <si>
    <t>ashi</t>
  </si>
  <si>
    <t>nnea</t>
  </si>
  <si>
    <t>{'tx_id': '5ed3d67b8723c11444c43283', 'tx_date': '2020-06-13T06:00:46.904000Z', 'tx_amount': 29627, 'tx_mode': 'Debit', 'tx_channel': 'mobile', 'bank_name': 'GBank', 'dob': ['1969-09-09 00:00:00']}</t>
  </si>
  <si>
    <t>tiadli</t>
  </si>
  <si>
    <t>aoniaduoflml lleoabu</t>
  </si>
  <si>
    <t>oabdelgas</t>
  </si>
  <si>
    <t>nnae</t>
  </si>
  <si>
    <t>khuckauwu</t>
  </si>
  <si>
    <t>ablonle</t>
  </si>
  <si>
    <t>{'tx_id': '5ed3d67b8723c11444c43283', 'tx_date': '2020-06-12T20:22:38.986000Z', 'tx_amount': 38445, 'tx_mode': 'Debit', 'tx_channel': 'mobile', 'bank_name': 'ABank', 'dob': ['1975-12-05 00:00:00']}</t>
  </si>
  <si>
    <t>yleoeow</t>
  </si>
  <si>
    <t>uwaan</t>
  </si>
  <si>
    <t>dkmuaa</t>
  </si>
  <si>
    <t>aibdri</t>
  </si>
  <si>
    <t>{'tx_id': '5ed3d67b8723c11444c43283', 'tx_date': '2020-06-13T16:10:51.479000Z', 'tx_amount': 27791, 'tx_mode': 'Debit', 'tx_channel': 'web', 'bank_name': 'KBank', 'dob': ['1993-02-15 00:00:00']}</t>
  </si>
  <si>
    <t>eonuwko</t>
  </si>
  <si>
    <t>enians</t>
  </si>
  <si>
    <t>{'tx_id': '5ed3d67b8723c11444c43283', 'tx_date': '2020-06-13T05:28:47.543000Z', 'tx_amount': 6192, 'tx_mode': 'Debit', 'tx_channel': 'web', 'bank_name': 'QBank', 'dob': ['1988-05-08 00:00:00']}</t>
  </si>
  <si>
    <t>doaeknuy</t>
  </si>
  <si>
    <t>lmvahienos t</t>
  </si>
  <si>
    <t>{'tx_id': '5ed3d67b8723c11444c43283', 'tx_date': '2020-06-12T20:22:38.986000Z', 'tx_amount': 38445, 'tx_mode': 'Debit', 'tx_channel': 'mobile', 'bank_name': 'ABank', 'dob': ['1980-01-01 00:00:00']}</t>
  </si>
  <si>
    <t>oiaeljd</t>
  </si>
  <si>
    <t>uobwumanil</t>
  </si>
  <si>
    <t>ifnymoaul</t>
  </si>
  <si>
    <t>ojy</t>
  </si>
  <si>
    <t>whienaagg</t>
  </si>
  <si>
    <t>rdiso</t>
  </si>
  <si>
    <t>{'tx_id': '5ed3d67b8723c11444c43283', 'tx_date': '2020-06-13T05:28:47.543000Z', 'tx_amount': 6192, 'tx_mode': 'Debit', 'tx_channel': 'web', 'bank_name': 'QBank', 'dob': ['2000-12-04 00:00:00']}</t>
  </si>
  <si>
    <t>diouw</t>
  </si>
  <si>
    <t>daopoal</t>
  </si>
  <si>
    <t>{'tx_id': '5ed3d67b8723c11444c43283', 'tx_date': '2020-06-12T20:22:38.986000Z', 'tx_amount': 38445, 'tx_mode': 'Debit', 'tx_channel': 'mobile', 'bank_name': 'ABank', 'dob': ['1988-10-10 00:00:00']}</t>
  </si>
  <si>
    <t>iltaaonk</t>
  </si>
  <si>
    <t>aedfiobrlea ash</t>
  </si>
  <si>
    <t>khoceow</t>
  </si>
  <si>
    <t>mlduioe</t>
  </si>
  <si>
    <t>wreca</t>
  </si>
  <si>
    <t>onmuauwbil</t>
  </si>
  <si>
    <t>{'tx_id': '5ed3d67b8723c11444c43283', 'tx_date': '2020-06-13T05:28:47.543000Z', 'tx_amount': 6192, 'tx_mode': 'Debit', 'tx_channel': 'web', 'bank_name': 'QBank', 'dob': ['1994-09-09 00:00:00']}</t>
  </si>
  <si>
    <t>adeeely</t>
  </si>
  <si>
    <t>isnaen</t>
  </si>
  <si>
    <t>osuudom</t>
  </si>
  <si>
    <t>umeokj</t>
  </si>
  <si>
    <t>ssmaon</t>
  </si>
  <si>
    <t>inasen</t>
  </si>
  <si>
    <t>uwoltboai</t>
  </si>
  <si>
    <t>o afsloeumidoluyalna</t>
  </si>
  <si>
    <t>khowe ouwnoo</t>
  </si>
  <si>
    <t>aeuwolfim</t>
  </si>
  <si>
    <t>wooedal</t>
  </si>
  <si>
    <t>onlshe taivm</t>
  </si>
  <si>
    <t>nuainb</t>
  </si>
  <si>
    <t>gzihicoe</t>
  </si>
  <si>
    <t>wuamdeangu</t>
  </si>
  <si>
    <t>niaesn</t>
  </si>
  <si>
    <t>{'tx_id': '5ed3d67b8723c11444c43283', 'tx_date': '2020-06-13T05:28:47.543000Z', 'tx_amount': 6192, 'tx_mode': 'Debit', 'tx_channel': 'web', 'bank_name': 'QBank', 'dob': ['1992-01-01 00:00:00']}</t>
  </si>
  <si>
    <t>ayonnht</t>
  </si>
  <si>
    <t>imef</t>
  </si>
  <si>
    <t>{'tx_id': '5ed3d67b8723c11444c43283', 'tx_date': '2020-06-12T20:22:38.986000Z', 'tx_amount': 38445, 'tx_mode': 'Debit', 'tx_channel': 'mobile', 'bank_name': 'ABank', 'dob': ['1991-07-10 00:00:00']}</t>
  </si>
  <si>
    <t>oweyole</t>
  </si>
  <si>
    <t>ihancza</t>
  </si>
  <si>
    <t>{'tx_id': '5ed3d67b8723c11444c43283', 'tx_date': '2020-06-13T06:00:46.904000Z', 'tx_amount': 29627, 'tx_mode': 'Debit', 'tx_channel': 'mobile', 'bank_name': 'GBank', 'dob': ['1989-03-17 00:00:00']}</t>
  </si>
  <si>
    <t>itladi</t>
  </si>
  <si>
    <t>akdyaine</t>
  </si>
  <si>
    <t>oejdail</t>
  </si>
  <si>
    <t>ranedoke</t>
  </si>
  <si>
    <t>dolyaee</t>
  </si>
  <si>
    <t>niedkhe</t>
  </si>
  <si>
    <t>moaaulowy</t>
  </si>
  <si>
    <t>eyiaydo</t>
  </si>
  <si>
    <t>nsuwo</t>
  </si>
  <si>
    <t>ennais</t>
  </si>
  <si>
    <t>aayed</t>
  </si>
  <si>
    <t>moojlkeua</t>
  </si>
  <si>
    <t>nijati</t>
  </si>
  <si>
    <t>bfl ehoiaseaard</t>
  </si>
  <si>
    <t>{'tx_id': '5ed3d67b8723c11444c43283', 'tx_date': '2020-06-12T20:22:38.986000Z', 'tx_amount': 38445, 'tx_mode': 'Debit', 'tx_channel': 'mobile', 'bank_name': 'ABank', 'dob': ['1992-03-31 00:00:00']}</t>
  </si>
  <si>
    <t>ooork</t>
  </si>
  <si>
    <t>aignayt</t>
  </si>
  <si>
    <t>najuulgo</t>
  </si>
  <si>
    <t>emit mnaaewun</t>
  </si>
  <si>
    <t>aeayd</t>
  </si>
  <si>
    <t>cunainh</t>
  </si>
  <si>
    <t>uasdyn</t>
  </si>
  <si>
    <t>dknehei</t>
  </si>
  <si>
    <t>ainnbu</t>
  </si>
  <si>
    <t>waele</t>
  </si>
  <si>
    <t>{'tx_id': '5ed3d67b8723c11444c43283', 'tx_date': '2020-06-13T06:00:46.904000Z', 'tx_amount': 29627, 'tx_mode': 'Debit', 'tx_channel': 'mobile', 'bank_name': 'GBank', 'dob': ['1991-07-10 00:00:00']}</t>
  </si>
  <si>
    <t>okoeri</t>
  </si>
  <si>
    <t>pneoiejsh</t>
  </si>
  <si>
    <t>{'tx_id': '5ed3d67b8723c11444c43283', 'tx_date': '2020-06-13T16:10:51.479000Z', 'tx_amount': 27791, 'tx_mode': 'Debit', 'tx_channel': 'web', 'bank_name': 'KBank', 'dob': ['1999-12-16 00:00:00']}</t>
  </si>
  <si>
    <t>sebaneid</t>
  </si>
  <si>
    <t>eiatzbelh</t>
  </si>
  <si>
    <t>uhowkewnoo o</t>
  </si>
  <si>
    <t>shujao</t>
  </si>
  <si>
    <t>zoewuaeku</t>
  </si>
  <si>
    <t>hazeef</t>
  </si>
  <si>
    <t>{'tx_id': '5ed3d67b8723c11444c43283', 'tx_date': '2020-06-13T06:00:46.904000Z', 'tx_amount': 29627, 'tx_mode': 'Debit', 'tx_channel': 'mobile', 'bank_name': 'GBank', 'dob': ['2000-06-13 00:00:00']}</t>
  </si>
  <si>
    <t>ohil</t>
  </si>
  <si>
    <t>nlbeola</t>
  </si>
  <si>
    <t>{'tx_id': '5ed3d67b8723c11444c43283', 'tx_date': '2020-06-13T16:10:51.479000Z', 'tx_amount': 27791, 'tx_mode': 'Debit', 'tx_channel': 'web', 'bank_name': 'KBank', 'dob': ['1967-08-24 00:00:00']}</t>
  </si>
  <si>
    <t>eroboaulnwg</t>
  </si>
  <si>
    <t>ouneusalw</t>
  </si>
  <si>
    <t>{'tx_id': '5ed3d67b8723c11444c43283', 'tx_date': '2020-06-13T05:28:47.543000Z', 'tx_amount': 6192, 'tx_mode': 'Debit', 'tx_channel': 'web', 'bank_name': 'QBank', 'dob': ['1989-05-21 00:00:00']}</t>
  </si>
  <si>
    <t>luzu</t>
  </si>
  <si>
    <t>heinekd</t>
  </si>
  <si>
    <t>{'tx_id': '5ed3d67b8723c11444c43283', 'tx_date': '2020-06-12T20:22:38.986000Z', 'tx_amount': 38445, 'tx_mode': 'Debit', 'tx_channel': 'mobile', 'bank_name': 'ABank', 'dob': ['1993-12-23 00:00:00']}</t>
  </si>
  <si>
    <t>ayuwnan</t>
  </si>
  <si>
    <t>epert</t>
  </si>
  <si>
    <t>{'tx_id': '5ed3d67b8723c11444c43283', 'tx_date': '2020-06-13T06:00:46.904000Z', 'tx_amount': 29627, 'tx_mode': 'Debit', 'tx_channel': 'mobile', 'bank_name': 'GBank', 'dob': ['1992-12-24 00:00:00']}</t>
  </si>
  <si>
    <t>yaeimed</t>
  </si>
  <si>
    <t>ygtanai</t>
  </si>
  <si>
    <t>onewogbalur</t>
  </si>
  <si>
    <t>khkeuwaceum</t>
  </si>
  <si>
    <t>siunl</t>
  </si>
  <si>
    <t>iaabi lnewoodl</t>
  </si>
  <si>
    <t>nleurogobaw</t>
  </si>
  <si>
    <t>eshrcla</t>
  </si>
  <si>
    <t>uomshra</t>
  </si>
  <si>
    <t>ncivivnmia hida</t>
  </si>
  <si>
    <t>{'tx_id': '5ed3d67b8723c11444c43283', 'tx_date': '2020-06-13T16:10:51.479000Z', 'tx_amount': 27791, 'tx_mode': 'Debit', 'tx_channel': 'web', 'bank_name': 'KBank', 'dob': ['1980-01-01 00:00:00']}</t>
  </si>
  <si>
    <t>arokpa</t>
  </si>
  <si>
    <t>lamunse</t>
  </si>
  <si>
    <t>hmaciaar</t>
  </si>
  <si>
    <t>chogizie</t>
  </si>
  <si>
    <t>{'tx_id': '5ed3d67b8723c11444c43283', 'tx_date': '2020-06-12T20:22:38.986000Z', 'tx_amount': 38445, 'tx_mode': 'Debit', 'tx_channel': 'mobile', 'bank_name': 'ABank', 'dob': ['1989-01-01 00:00:00']}</t>
  </si>
  <si>
    <t>unils</t>
  </si>
  <si>
    <t>ahuran</t>
  </si>
  <si>
    <t>ladeeye</t>
  </si>
  <si>
    <t>peeaj</t>
  </si>
  <si>
    <t>{'tx_id': '5ed3d67b8723c11444c43283', 'tx_date': '2020-06-13T16:10:51.479000Z', 'tx_amount': 27791, 'tx_mode': 'Debit', 'tx_channel': 'web', 'bank_name': 'KBank', 'dob': ['1980-08-31 00:00:00']}</t>
  </si>
  <si>
    <t>weblaaab</t>
  </si>
  <si>
    <t>haizboc</t>
  </si>
  <si>
    <t>aogmy-ohlneor</t>
  </si>
  <si>
    <t>sjohpiene</t>
  </si>
  <si>
    <t>diital</t>
  </si>
  <si>
    <t>etts</t>
  </si>
  <si>
    <t>{'tx_id': '5ed3d67b8723c11444c43283', 'tx_date': '2020-06-13T06:00:46.904000Z', 'tx_amount': 29627, 'tx_mode': 'Debit', 'tx_channel': 'mobile', 'bank_name': 'GBank', 'dob': ['1993-09-06 00:00:00']}</t>
  </si>
  <si>
    <t>eloewyo</t>
  </si>
  <si>
    <t>nohj</t>
  </si>
  <si>
    <t>aosmadibg</t>
  </si>
  <si>
    <t>tfsaah</t>
  </si>
  <si>
    <t>{'tx_id': '5ed3d67b8723c11444c43283', 'tx_date': '2020-06-13T05:28:47.543000Z', 'tx_amount': 6192, 'tx_mode': 'Debit', 'tx_channel': 'web', 'bank_name': 'QBank', 'dob': ['1984-08-26 00:00:00']}</t>
  </si>
  <si>
    <t>nrnikania</t>
  </si>
  <si>
    <t>tieabhelz</t>
  </si>
  <si>
    <t>riabu</t>
  </si>
  <si>
    <t>laebonl</t>
  </si>
  <si>
    <t>agho</t>
  </si>
  <si>
    <t>ulfaeiwo</t>
  </si>
  <si>
    <t>odruwae</t>
  </si>
  <si>
    <t>islaouise nb</t>
  </si>
  <si>
    <t>baiur</t>
  </si>
  <si>
    <t>auibwnluom</t>
  </si>
  <si>
    <t>okuaaf</t>
  </si>
  <si>
    <t>icneue</t>
  </si>
  <si>
    <t>rubai</t>
  </si>
  <si>
    <t>mofueawli</t>
  </si>
  <si>
    <t>{'tx_id': '5ed3d67b8723c11444c43283', 'tx_date': '2020-06-13T16:10:51.479000Z', 'tx_amount': 27791, 'tx_mode': 'Debit', 'tx_channel': 'web', 'bank_name': 'KBank', 'dob': ['1992-03-31 00:00:00']}</t>
  </si>
  <si>
    <t>maoka</t>
  </si>
  <si>
    <t>onyodua</t>
  </si>
  <si>
    <t>{'tx_id': '5ed3d67b8723c11444c43283', 'tx_date': '2020-06-13T05:28:47.543000Z', 'tx_amount': 6192, 'tx_mode': 'Debit', 'tx_channel': 'web', 'bank_name': 'QBank', 'dob': ['1974-02-05 00:00:00']}</t>
  </si>
  <si>
    <t>nogashob</t>
  </si>
  <si>
    <t>ynihcbueo</t>
  </si>
  <si>
    <t>{'tx_id': '5ed3d67b8723c11444c43283', 'tx_date': '2020-06-12T20:22:38.986000Z', 'tx_amount': 38445, 'tx_mode': 'Debit', 'tx_channel': 'mobile', 'bank_name': 'ABank', 'dob': ['1999-12-23 00:00:00']}</t>
  </si>
  <si>
    <t>awwnnko</t>
  </si>
  <si>
    <t>uauwnosel</t>
  </si>
  <si>
    <t>uhem</t>
  </si>
  <si>
    <t>dmhiniac</t>
  </si>
  <si>
    <t>uemh</t>
  </si>
  <si>
    <t>s linoaebuis</t>
  </si>
  <si>
    <t>meyoeiy</t>
  </si>
  <si>
    <t>rnnkifal</t>
  </si>
  <si>
    <t>{'tx_id': '5ed3d67b8723c11444c43283', 'tx_date': '2020-06-12T20:22:38.986000Z', 'tx_amount': 38445, 'tx_mode': 'Debit', 'tx_channel': 'mobile', 'bank_name': 'ABank', 'dob': ['1980-08-31 00:00:00']}</t>
  </si>
  <si>
    <t>oowel</t>
  </si>
  <si>
    <t>halmtvos nei</t>
  </si>
  <si>
    <t>uwymloaao</t>
  </si>
  <si>
    <t>ihucrut</t>
  </si>
  <si>
    <t>hgao</t>
  </si>
  <si>
    <t>aaobli</t>
  </si>
  <si>
    <t>{'tx_id': '5ed3d67b8723c11444c43283', 'tx_date': '2020-06-13T05:28:47.543000Z', 'tx_amount': 6192, 'tx_mode': 'Debit', 'tx_channel': 'web', 'bank_name': 'QBank', 'dob': ['1987-04-02 00:00:00']}</t>
  </si>
  <si>
    <t>ooph</t>
  </si>
  <si>
    <t>oulma</t>
  </si>
  <si>
    <t>emmleaun</t>
  </si>
  <si>
    <t>uocgwohuk</t>
  </si>
  <si>
    <t>ihlcio</t>
  </si>
  <si>
    <t>amads</t>
  </si>
  <si>
    <t>aihs</t>
  </si>
  <si>
    <t>ekynadia</t>
  </si>
  <si>
    <t>gwoorbnelua</t>
  </si>
  <si>
    <t>leran</t>
  </si>
  <si>
    <t>nodgeeul</t>
  </si>
  <si>
    <t>ihcnek</t>
  </si>
  <si>
    <t>dunoetsa</t>
  </si>
  <si>
    <t>cteenaip</t>
  </si>
  <si>
    <t>etst</t>
  </si>
  <si>
    <t>mflioulna</t>
  </si>
  <si>
    <t>asimeinfj</t>
  </si>
  <si>
    <t>au nyiuflasalodmoelo</t>
  </si>
  <si>
    <t>oin</t>
  </si>
  <si>
    <t>oedpum</t>
  </si>
  <si>
    <t>Record ID</t>
  </si>
  <si>
    <t>Full Name</t>
  </si>
  <si>
    <t>DOB</t>
  </si>
  <si>
    <t>Age</t>
  </si>
  <si>
    <t>Age Band</t>
  </si>
  <si>
    <t>Source Tx ID</t>
  </si>
  <si>
    <t>Tx Date</t>
  </si>
  <si>
    <t>Tx Time</t>
  </si>
  <si>
    <t>Tx Hour</t>
  </si>
  <si>
    <t>Tx Amount</t>
  </si>
  <si>
    <t>Tx Mode</t>
  </si>
  <si>
    <t>Tx Channel</t>
  </si>
  <si>
    <t>Bank</t>
  </si>
  <si>
    <t>Transaction Key</t>
  </si>
  <si>
    <t>Nooeukw</t>
  </si>
  <si>
    <t>Uuoaklowalb</t>
  </si>
  <si>
    <t>Nooeukw Uuoaklowalb</t>
  </si>
  <si>
    <t>1992-11-10</t>
  </si>
  <si>
    <t>Under 30</t>
  </si>
  <si>
    <t>5ed3d67b8723c11444c43283</t>
  </si>
  <si>
    <t>2020-06-13</t>
  </si>
  <si>
    <t>05:28:47</t>
  </si>
  <si>
    <t>Debit</t>
  </si>
  <si>
    <t>web</t>
  </si>
  <si>
    <t>QBank</t>
  </si>
  <si>
    <t>2020-06-13|6192|QBank</t>
  </si>
  <si>
    <t>Angulbo</t>
  </si>
  <si>
    <t>Seagn</t>
  </si>
  <si>
    <t>Angulbo Seagn</t>
  </si>
  <si>
    <t>Unknown</t>
  </si>
  <si>
    <t>2020-06-12</t>
  </si>
  <si>
    <t>20:22:38</t>
  </si>
  <si>
    <t>mobile</t>
  </si>
  <si>
    <t>ABank</t>
  </si>
  <si>
    <t>2020-06-12|38445|ABank</t>
  </si>
  <si>
    <t>Dukowi</t>
  </si>
  <si>
    <t>Eukloomja</t>
  </si>
  <si>
    <t>Dukowi Eukloomja</t>
  </si>
  <si>
    <t>1992-01-01</t>
  </si>
  <si>
    <t>06:00:46</t>
  </si>
  <si>
    <t>GBank</t>
  </si>
  <si>
    <t>2020-06-13|29627|GBank</t>
  </si>
  <si>
    <t>Ltuoawiob</t>
  </si>
  <si>
    <t>Uuilawobmn</t>
  </si>
  <si>
    <t>Ltuoawiob Uuilawobmn</t>
  </si>
  <si>
    <t>1981-01-07</t>
  </si>
  <si>
    <t>30-39</t>
  </si>
  <si>
    <t>16:10:51</t>
  </si>
  <si>
    <t>KBank</t>
  </si>
  <si>
    <t>2020-06-13|27791|KBank</t>
  </si>
  <si>
    <t>Nakuolo</t>
  </si>
  <si>
    <t>Donald</t>
  </si>
  <si>
    <t>Nakuolo Donald</t>
  </si>
  <si>
    <t>Juagn</t>
  </si>
  <si>
    <t>Ahcnaiz</t>
  </si>
  <si>
    <t>Juagn Ahcnaiz</t>
  </si>
  <si>
    <t>1980-11-22</t>
  </si>
  <si>
    <t>40-49</t>
  </si>
  <si>
    <t>Eykeneowj</t>
  </si>
  <si>
    <t>Ijutdh</t>
  </si>
  <si>
    <t>Eykeneowj Ijutdh</t>
  </si>
  <si>
    <t>1998-08-20</t>
  </si>
  <si>
    <t>Ellbo</t>
  </si>
  <si>
    <t>Sasahn</t>
  </si>
  <si>
    <t>Ellbo Sasahn</t>
  </si>
  <si>
    <t>1976-12-12</t>
  </si>
  <si>
    <t>Ooadelb</t>
  </si>
  <si>
    <t>Ruktam</t>
  </si>
  <si>
    <t>Ooadelb Ruktam</t>
  </si>
  <si>
    <t>Ali</t>
  </si>
  <si>
    <t>Grgniir Kaeouakn</t>
  </si>
  <si>
    <t>Ali Grgniir Kaeouakn</t>
  </si>
  <si>
    <t>Ial</t>
  </si>
  <si>
    <t>Ubykua</t>
  </si>
  <si>
    <t>Ial Ubykua</t>
  </si>
  <si>
    <t>Owjoloaur</t>
  </si>
  <si>
    <t>Eaoltse</t>
  </si>
  <si>
    <t>Owjoloaur Eaoltse</t>
  </si>
  <si>
    <t>Boadigasm</t>
  </si>
  <si>
    <t>Hycknouwyeniu</t>
  </si>
  <si>
    <t>Boadigasm Hycknouwyeniu</t>
  </si>
  <si>
    <t>Ywmuia</t>
  </si>
  <si>
    <t>Oaeuld Omyiosalnfula</t>
  </si>
  <si>
    <t>Ywmuia Oaeuld Omyiosalnfula</t>
  </si>
  <si>
    <t>1984-06-13</t>
  </si>
  <si>
    <t>Owug</t>
  </si>
  <si>
    <t>Fuatas</t>
  </si>
  <si>
    <t>Owug Fuatas</t>
  </si>
  <si>
    <t>Eaeodkg</t>
  </si>
  <si>
    <t>Nloadd</t>
  </si>
  <si>
    <t>Eaeodkg Nloadd</t>
  </si>
  <si>
    <t>Adyuns</t>
  </si>
  <si>
    <t>Naczhai</t>
  </si>
  <si>
    <t>Adyuns Naczhai</t>
  </si>
  <si>
    <t>Aiblnafoa</t>
  </si>
  <si>
    <t>Ollutoep</t>
  </si>
  <si>
    <t>Aiblnafoa Ollutoep</t>
  </si>
  <si>
    <t>Dokeay</t>
  </si>
  <si>
    <t>Egesr Jmumoan</t>
  </si>
  <si>
    <t>Dokeay Egesr Jmumoan</t>
  </si>
  <si>
    <t>E Okowuhoonw</t>
  </si>
  <si>
    <t>Izahbteel</t>
  </si>
  <si>
    <t>E Okowuhoonw Izahbteel</t>
  </si>
  <si>
    <t>Imawinuk</t>
  </si>
  <si>
    <t>Iadmil</t>
  </si>
  <si>
    <t>Imawinuk Iadmil</t>
  </si>
  <si>
    <t>Kroow</t>
  </si>
  <si>
    <t>Odqis</t>
  </si>
  <si>
    <t>Kroow Odqis</t>
  </si>
  <si>
    <t>Oogbnslou</t>
  </si>
  <si>
    <t>Lezeeki</t>
  </si>
  <si>
    <t>Oogbnslou Lezeeki</t>
  </si>
  <si>
    <t>1981-06-27</t>
  </si>
  <si>
    <t>Oujkn</t>
  </si>
  <si>
    <t>Aoiu Ulaleafdosmyoln</t>
  </si>
  <si>
    <t>Oujkn Aoiu Ulaleafdosmyoln</t>
  </si>
  <si>
    <t>1989-12-29</t>
  </si>
  <si>
    <t>Aimuwy</t>
  </si>
  <si>
    <t>Measj</t>
  </si>
  <si>
    <t>Aimuwy Measj</t>
  </si>
  <si>
    <t>Anygoeeldu</t>
  </si>
  <si>
    <t>Dllaamio</t>
  </si>
  <si>
    <t>Anygoeeldu Dllaamio</t>
  </si>
  <si>
    <t>Uiwdo</t>
  </si>
  <si>
    <t>Audelb Mllooaialunof</t>
  </si>
  <si>
    <t>Uiwdo Audelb Mllooaialunof</t>
  </si>
  <si>
    <t>Yaeikdno</t>
  </si>
  <si>
    <t>O Saederifaahbl</t>
  </si>
  <si>
    <t>Yaeikdno O Saederifaahbl</t>
  </si>
  <si>
    <t>Joo</t>
  </si>
  <si>
    <t>Lexce</t>
  </si>
  <si>
    <t>Joo Lexce</t>
  </si>
  <si>
    <t>1999-12-23</t>
  </si>
  <si>
    <t>Oyeewal</t>
  </si>
  <si>
    <t>Aimolewfu</t>
  </si>
  <si>
    <t>Oyeewal Aimolewfu</t>
  </si>
  <si>
    <t>Kruehio</t>
  </si>
  <si>
    <t>Rni Oisaaubhbd</t>
  </si>
  <si>
    <t>Kruehio Rni Oisaaubhbd</t>
  </si>
  <si>
    <t>Wounlraegob</t>
  </si>
  <si>
    <t>Urolmei</t>
  </si>
  <si>
    <t>Wounlraegob Urolmei</t>
  </si>
  <si>
    <t>1979-09-27</t>
  </si>
  <si>
    <t>Ewneze</t>
  </si>
  <si>
    <t>Ibdhcmeu</t>
  </si>
  <si>
    <t>Ewneze Ibdhcmeu</t>
  </si>
  <si>
    <t>Woknueo</t>
  </si>
  <si>
    <t>Oienalcr</t>
  </si>
  <si>
    <t>Woknueo Oienalcr</t>
  </si>
  <si>
    <t>Bedriie</t>
  </si>
  <si>
    <t>Nsnkloyiaoa</t>
  </si>
  <si>
    <t>Bedriie Nsnkloyiaoa</t>
  </si>
  <si>
    <t>Loeyowe</t>
  </si>
  <si>
    <t>Soqid</t>
  </si>
  <si>
    <t>Loeyowe Soqid</t>
  </si>
  <si>
    <t>Auwngo</t>
  </si>
  <si>
    <t>Raenvcoi</t>
  </si>
  <si>
    <t>Auwngo Raenvcoi</t>
  </si>
  <si>
    <t>Loognbosu</t>
  </si>
  <si>
    <t>Lsumea</t>
  </si>
  <si>
    <t>Loognbosu Lsumea</t>
  </si>
  <si>
    <t>Eeciknh</t>
  </si>
  <si>
    <t>Uaanbeibdt</t>
  </si>
  <si>
    <t>Eeciknh Uaanbeibdt</t>
  </si>
  <si>
    <t>Kownoeu</t>
  </si>
  <si>
    <t>Epainetc</t>
  </si>
  <si>
    <t>Kownoeu Epainetc</t>
  </si>
  <si>
    <t>Pnduoige</t>
  </si>
  <si>
    <t>Nsenai</t>
  </si>
  <si>
    <t>Pnduoige Nsenai</t>
  </si>
  <si>
    <t>Aalbfio</t>
  </si>
  <si>
    <t>Alwadee</t>
  </si>
  <si>
    <t>Aalbfio Alwadee</t>
  </si>
  <si>
    <t>Ashi</t>
  </si>
  <si>
    <t>Nnea</t>
  </si>
  <si>
    <t>Ashi Nnea</t>
  </si>
  <si>
    <t>1969-09-09</t>
  </si>
  <si>
    <t>50+</t>
  </si>
  <si>
    <t>Tiadli</t>
  </si>
  <si>
    <t>Aoniaduoflml Lleoabu</t>
  </si>
  <si>
    <t>Tiadli Aoniaduoflml Lleoabu</t>
  </si>
  <si>
    <t>Oabdelgas</t>
  </si>
  <si>
    <t>Nnae</t>
  </si>
  <si>
    <t>Oabdelgas Nnae</t>
  </si>
  <si>
    <t>Khuckauwu</t>
  </si>
  <si>
    <t>Ablonle</t>
  </si>
  <si>
    <t>Khuckauwu Ablonle</t>
  </si>
  <si>
    <t>1975-12-05</t>
  </si>
  <si>
    <t>Yleoeow</t>
  </si>
  <si>
    <t>Uwaan</t>
  </si>
  <si>
    <t>Yleoeow Uwaan</t>
  </si>
  <si>
    <t>Dkmuaa</t>
  </si>
  <si>
    <t>Aibdri</t>
  </si>
  <si>
    <t>Dkmuaa Aibdri</t>
  </si>
  <si>
    <t>1993-02-15</t>
  </si>
  <si>
    <t>Eonuwko</t>
  </si>
  <si>
    <t>Enians</t>
  </si>
  <si>
    <t>Eonuwko Enians</t>
  </si>
  <si>
    <t>1988-05-08</t>
  </si>
  <si>
    <t>Doaeknuy</t>
  </si>
  <si>
    <t>Lmvahienos T</t>
  </si>
  <si>
    <t>Doaeknuy Lmvahienos T</t>
  </si>
  <si>
    <t>1980-01-01</t>
  </si>
  <si>
    <t>Oiaeljd</t>
  </si>
  <si>
    <t>Uobwumanil</t>
  </si>
  <si>
    <t>Oiaeljd Uobwumanil</t>
  </si>
  <si>
    <t>Ifnymoaul</t>
  </si>
  <si>
    <t>Ojy</t>
  </si>
  <si>
    <t>Ifnymoaul Ojy</t>
  </si>
  <si>
    <t>Whienaagg</t>
  </si>
  <si>
    <t>Rdiso</t>
  </si>
  <si>
    <t>Whienaagg Rdiso</t>
  </si>
  <si>
    <t>2000-12-04</t>
  </si>
  <si>
    <t>Diouw</t>
  </si>
  <si>
    <t>Daopoal</t>
  </si>
  <si>
    <t>Diouw Daopoal</t>
  </si>
  <si>
    <t>1988-10-10</t>
  </si>
  <si>
    <t>Iltaaonk</t>
  </si>
  <si>
    <t>Aedfiobrlea Ash</t>
  </si>
  <si>
    <t>Iltaaonk Aedfiobrlea Ash</t>
  </si>
  <si>
    <t>Khoceow</t>
  </si>
  <si>
    <t>Mlduioe</t>
  </si>
  <si>
    <t>Khoceow Mlduioe</t>
  </si>
  <si>
    <t>Wreca</t>
  </si>
  <si>
    <t>Onmuauwbil</t>
  </si>
  <si>
    <t>Wreca Onmuauwbil</t>
  </si>
  <si>
    <t>1994-09-09</t>
  </si>
  <si>
    <t>Adeeely</t>
  </si>
  <si>
    <t>Isnaen</t>
  </si>
  <si>
    <t>Adeeely Isnaen</t>
  </si>
  <si>
    <t>Osuudom</t>
  </si>
  <si>
    <t>Umeokj</t>
  </si>
  <si>
    <t>Osuudom Umeokj</t>
  </si>
  <si>
    <t>Ssmaon</t>
  </si>
  <si>
    <t>Inasen</t>
  </si>
  <si>
    <t>Ssmaon Inasen</t>
  </si>
  <si>
    <t>Uwoltboai</t>
  </si>
  <si>
    <t>O Afsloeumidoluyalna</t>
  </si>
  <si>
    <t>Uwoltboai O Afsloeumidoluyalna</t>
  </si>
  <si>
    <t>Khowe Ouwnoo</t>
  </si>
  <si>
    <t>Aeuwolfim</t>
  </si>
  <si>
    <t>Khowe Ouwnoo Aeuwolfim</t>
  </si>
  <si>
    <t>Wooedal</t>
  </si>
  <si>
    <t>Onlshe Taivm</t>
  </si>
  <si>
    <t>Wooedal Onlshe Taivm</t>
  </si>
  <si>
    <t>Nuainb</t>
  </si>
  <si>
    <t>Gzihicoe</t>
  </si>
  <si>
    <t>Nuainb Gzihicoe</t>
  </si>
  <si>
    <t>Wuamdeangu</t>
  </si>
  <si>
    <t>Niaesn</t>
  </si>
  <si>
    <t>Wuamdeangu Niaesn</t>
  </si>
  <si>
    <t>Ayonnht</t>
  </si>
  <si>
    <t>Imef</t>
  </si>
  <si>
    <t>Ayonnht Imef</t>
  </si>
  <si>
    <t>1991-07-10</t>
  </si>
  <si>
    <t>Oweyole</t>
  </si>
  <si>
    <t>Ihancza</t>
  </si>
  <si>
    <t>Oweyole Ihancza</t>
  </si>
  <si>
    <t>1989-03-17</t>
  </si>
  <si>
    <t>Itladi</t>
  </si>
  <si>
    <t>Akdyaine</t>
  </si>
  <si>
    <t>Itladi Akdyaine</t>
  </si>
  <si>
    <t>Oejdail</t>
  </si>
  <si>
    <t>Ranedoke</t>
  </si>
  <si>
    <t>Oejdail Ranedoke</t>
  </si>
  <si>
    <t>Dolyaee</t>
  </si>
  <si>
    <t>Niedkhe</t>
  </si>
  <si>
    <t>Dolyaee Niedkhe</t>
  </si>
  <si>
    <t>Moaaulowy</t>
  </si>
  <si>
    <t>Eyiaydo</t>
  </si>
  <si>
    <t>Moaaulowy Eyiaydo</t>
  </si>
  <si>
    <t>Nsuwo</t>
  </si>
  <si>
    <t>Ennais</t>
  </si>
  <si>
    <t>Nsuwo Ennais</t>
  </si>
  <si>
    <t>Aayed</t>
  </si>
  <si>
    <t>Moojlkeua</t>
  </si>
  <si>
    <t>Aayed Moojlkeua</t>
  </si>
  <si>
    <t>Nijati</t>
  </si>
  <si>
    <t>Bfl Ehoiaseaard</t>
  </si>
  <si>
    <t>Nijati Bfl Ehoiaseaard</t>
  </si>
  <si>
    <t>1992-03-31</t>
  </si>
  <si>
    <t>Ooork</t>
  </si>
  <si>
    <t>Aignayt</t>
  </si>
  <si>
    <t>Ooork Aignayt</t>
  </si>
  <si>
    <t>Najuulgo</t>
  </si>
  <si>
    <t>Emit Mnaaewun</t>
  </si>
  <si>
    <t>Najuulgo Emit Mnaaewun</t>
  </si>
  <si>
    <t>Aeayd</t>
  </si>
  <si>
    <t>Cunainh</t>
  </si>
  <si>
    <t>Aeayd Cunainh</t>
  </si>
  <si>
    <t>Uasdyn</t>
  </si>
  <si>
    <t>Dknehei</t>
  </si>
  <si>
    <t>Uasdyn Dknehei</t>
  </si>
  <si>
    <t>Ainnbu</t>
  </si>
  <si>
    <t>Waele</t>
  </si>
  <si>
    <t>Ainnbu Waele</t>
  </si>
  <si>
    <t>Okoeri</t>
  </si>
  <si>
    <t>Pneoiejsh</t>
  </si>
  <si>
    <t>Okoeri Pneoiejsh</t>
  </si>
  <si>
    <t>1999-12-16</t>
  </si>
  <si>
    <t>Sebaneid</t>
  </si>
  <si>
    <t>Eiatzbelh</t>
  </si>
  <si>
    <t>Sebaneid Eiatzbelh</t>
  </si>
  <si>
    <t>Uhowkewnoo O</t>
  </si>
  <si>
    <t>Shujao</t>
  </si>
  <si>
    <t>Uhowkewnoo O Shujao</t>
  </si>
  <si>
    <t>Zoewuaeku</t>
  </si>
  <si>
    <t>Hazeef</t>
  </si>
  <si>
    <t>Zoewuaeku Hazeef</t>
  </si>
  <si>
    <t>2000-06-13</t>
  </si>
  <si>
    <t>Ohil</t>
  </si>
  <si>
    <t>Nlbeola</t>
  </si>
  <si>
    <t>Ohil Nlbeola</t>
  </si>
  <si>
    <t>1967-08-24</t>
  </si>
  <si>
    <t>Eroboaulnwg</t>
  </si>
  <si>
    <t>Ouneusalw</t>
  </si>
  <si>
    <t>Eroboaulnwg Ouneusalw</t>
  </si>
  <si>
    <t>1989-05-21</t>
  </si>
  <si>
    <t>Luzu</t>
  </si>
  <si>
    <t>Heinekd</t>
  </si>
  <si>
    <t>Luzu Heinekd</t>
  </si>
  <si>
    <t>1993-12-23</t>
  </si>
  <si>
    <t>Ayuwnan</t>
  </si>
  <si>
    <t>Epert</t>
  </si>
  <si>
    <t>Ayuwnan Epert</t>
  </si>
  <si>
    <t>1992-12-24</t>
  </si>
  <si>
    <t>Yaeimed</t>
  </si>
  <si>
    <t>Ygtanai</t>
  </si>
  <si>
    <t>Yaeimed Ygtanai</t>
  </si>
  <si>
    <t>Onewogbalur</t>
  </si>
  <si>
    <t>Khkeuwaceum</t>
  </si>
  <si>
    <t>Onewogbalur Khkeuwaceum</t>
  </si>
  <si>
    <t>Siunl</t>
  </si>
  <si>
    <t>Iaabi Lnewoodl</t>
  </si>
  <si>
    <t>Siunl Iaabi Lnewoodl</t>
  </si>
  <si>
    <t>Nleurogobaw</t>
  </si>
  <si>
    <t>Eshrcla</t>
  </si>
  <si>
    <t>Nleurogobaw Eshrcla</t>
  </si>
  <si>
    <t>Uomshra</t>
  </si>
  <si>
    <t>Ncivivnmia Hida</t>
  </si>
  <si>
    <t>Uomshra Ncivivnmia Hida</t>
  </si>
  <si>
    <t>Arokpa</t>
  </si>
  <si>
    <t>Lamunse</t>
  </si>
  <si>
    <t>Arokpa Lamunse</t>
  </si>
  <si>
    <t>Hmaciaar</t>
  </si>
  <si>
    <t>Chogizie</t>
  </si>
  <si>
    <t>Hmaciaar Chogizie</t>
  </si>
  <si>
    <t>1989-01-01</t>
  </si>
  <si>
    <t>Unils</t>
  </si>
  <si>
    <t>Ahuran</t>
  </si>
  <si>
    <t>Unils Ahuran</t>
  </si>
  <si>
    <t>Ladeeye</t>
  </si>
  <si>
    <t>Peeaj</t>
  </si>
  <si>
    <t>Ladeeye Peeaj</t>
  </si>
  <si>
    <t>1980-08-31</t>
  </si>
  <si>
    <t>Weblaaab</t>
  </si>
  <si>
    <t>Haizboc</t>
  </si>
  <si>
    <t>Weblaaab Haizboc</t>
  </si>
  <si>
    <t>Aogmy-Ohlneor</t>
  </si>
  <si>
    <t>Sjohpiene</t>
  </si>
  <si>
    <t>Aogmy-Ohlneor Sjohpiene</t>
  </si>
  <si>
    <t>Diital</t>
  </si>
  <si>
    <t>Etts</t>
  </si>
  <si>
    <t>Diital Etts</t>
  </si>
  <si>
    <t>1993-09-06</t>
  </si>
  <si>
    <t>Eloewyo</t>
  </si>
  <si>
    <t>Nohj</t>
  </si>
  <si>
    <t>Eloewyo Nohj</t>
  </si>
  <si>
    <t>Aosmadibg</t>
  </si>
  <si>
    <t>Tfsaah</t>
  </si>
  <si>
    <t>Aosmadibg Tfsaah</t>
  </si>
  <si>
    <t>1984-08-26</t>
  </si>
  <si>
    <t>Nrnikania</t>
  </si>
  <si>
    <t>Tieabhelz</t>
  </si>
  <si>
    <t>Nrnikania Tieabhelz</t>
  </si>
  <si>
    <t>Riabu</t>
  </si>
  <si>
    <t>Laebonl</t>
  </si>
  <si>
    <t>Riabu Laebonl</t>
  </si>
  <si>
    <t>Agho</t>
  </si>
  <si>
    <t>Ulfaeiwo</t>
  </si>
  <si>
    <t>Agho Ulfaeiwo</t>
  </si>
  <si>
    <t>Odruwae</t>
  </si>
  <si>
    <t>Islaouise Nb</t>
  </si>
  <si>
    <t>Odruwae Islaouise Nb</t>
  </si>
  <si>
    <t>Baiur</t>
  </si>
  <si>
    <t>Auibwnluom</t>
  </si>
  <si>
    <t>Baiur Auibwnluom</t>
  </si>
  <si>
    <t>Okuaaf</t>
  </si>
  <si>
    <t>Icneue</t>
  </si>
  <si>
    <t>Okuaaf Icneue</t>
  </si>
  <si>
    <t>Rubai</t>
  </si>
  <si>
    <t>Mofueawli</t>
  </si>
  <si>
    <t>Rubai Mofueawli</t>
  </si>
  <si>
    <t>Maoka</t>
  </si>
  <si>
    <t>Onyodua</t>
  </si>
  <si>
    <t>Maoka Onyodua</t>
  </si>
  <si>
    <t>1974-02-05</t>
  </si>
  <si>
    <t>Nogashob</t>
  </si>
  <si>
    <t>Ynihcbueo</t>
  </si>
  <si>
    <t>Nogashob Ynihcbueo</t>
  </si>
  <si>
    <t>Awwnnko</t>
  </si>
  <si>
    <t>Uauwnosel</t>
  </si>
  <si>
    <t>Awwnnko Uauwnosel</t>
  </si>
  <si>
    <t>Uhem</t>
  </si>
  <si>
    <t>Dmhiniac</t>
  </si>
  <si>
    <t>Uhem Dmhiniac</t>
  </si>
  <si>
    <t>Uemh</t>
  </si>
  <si>
    <t>S Linoaebuis</t>
  </si>
  <si>
    <t>Uemh S Linoaebuis</t>
  </si>
  <si>
    <t>Meyoeiy</t>
  </si>
  <si>
    <t>Rnnkifal</t>
  </si>
  <si>
    <t>Meyoeiy Rnnkifal</t>
  </si>
  <si>
    <t>Oowel</t>
  </si>
  <si>
    <t>Halmtvos Nei</t>
  </si>
  <si>
    <t>Oowel Halmtvos Nei</t>
  </si>
  <si>
    <t>Uwymloaao</t>
  </si>
  <si>
    <t>Ihucrut</t>
  </si>
  <si>
    <t>Uwymloaao Ihucrut</t>
  </si>
  <si>
    <t>Hgao</t>
  </si>
  <si>
    <t>Aaobli</t>
  </si>
  <si>
    <t>Hgao Aaobli</t>
  </si>
  <si>
    <t>1987-04-02</t>
  </si>
  <si>
    <t>Ooph</t>
  </si>
  <si>
    <t>Oulma</t>
  </si>
  <si>
    <t>Ooph Oulma</t>
  </si>
  <si>
    <t>Emmleaun</t>
  </si>
  <si>
    <t>Uocgwohuk</t>
  </si>
  <si>
    <t>Emmleaun Uocgwohuk</t>
  </si>
  <si>
    <t>Ihlcio</t>
  </si>
  <si>
    <t>Amads</t>
  </si>
  <si>
    <t>Ihlcio Amads</t>
  </si>
  <si>
    <t>Aihs</t>
  </si>
  <si>
    <t>Ekynadia</t>
  </si>
  <si>
    <t>Aihs Ekynadia</t>
  </si>
  <si>
    <t>Gwoorbnelua</t>
  </si>
  <si>
    <t>Leran</t>
  </si>
  <si>
    <t>Gwoorbnelua Leran</t>
  </si>
  <si>
    <t>Nodgeeul</t>
  </si>
  <si>
    <t>Ihcnek</t>
  </si>
  <si>
    <t>Nodgeeul Ihcnek</t>
  </si>
  <si>
    <t>Dunoetsa</t>
  </si>
  <si>
    <t>Cteenaip</t>
  </si>
  <si>
    <t>Dunoetsa Cteenaip</t>
  </si>
  <si>
    <t>Etst</t>
  </si>
  <si>
    <t>Mflioulna</t>
  </si>
  <si>
    <t>Etst Mflioulna</t>
  </si>
  <si>
    <t>Asimeinfj</t>
  </si>
  <si>
    <t>Au Nyiuflasalodmoelo</t>
  </si>
  <si>
    <t>Asimeinfj Au Nyiuflasalodmoelo</t>
  </si>
  <si>
    <t>Oin</t>
  </si>
  <si>
    <t>Oedpum</t>
  </si>
  <si>
    <t>Oin Oedpum</t>
  </si>
  <si>
    <t>Data Quality Issues Found &amp; Resolved</t>
  </si>
  <si>
    <t>Field</t>
  </si>
  <si>
    <t>Issue Found</t>
  </si>
  <si>
    <t>Rows Affected</t>
  </si>
  <si>
    <t>Action Taken</t>
  </si>
  <si>
    <t>first_name</t>
  </si>
  <si>
    <t>All values lower-case, no capitalisation</t>
  </si>
  <si>
    <t>Trimmed whitespace, applied Title Case</t>
  </si>
  <si>
    <t>last_name</t>
  </si>
  <si>
    <t>tx_id</t>
  </si>
  <si>
    <t>Only 1 distinct value across all 127 rows - not a usable key</t>
  </si>
  <si>
    <t>Retained as source_tx_id; added surrogate record_id 1..n</t>
  </si>
  <si>
    <t>tx_date</t>
  </si>
  <si>
    <t>ISO-8601 string with microseconds and Z suffix</t>
  </si>
  <si>
    <t>Parsed to UTC datetime; split into tx_date / tx_time / tx_hour</t>
  </si>
  <si>
    <t>tx_amount</t>
  </si>
  <si>
    <t>4 distinct amounts only; stored inside nested text</t>
  </si>
  <si>
    <t>Extracted to numeric integer column</t>
  </si>
  <si>
    <t>tx_mode</t>
  </si>
  <si>
    <t>Zero variance - every row is 'Debit'</t>
  </si>
  <si>
    <t>Kept but flagged: carries no analytical information</t>
  </si>
  <si>
    <t>dob</t>
  </si>
  <si>
    <t>Wrapped in a single-element list</t>
  </si>
  <si>
    <t>Unwrapped to a scalar value</t>
  </si>
  <si>
    <t>Placeholder string 'n/a' used instead of a null</t>
  </si>
  <si>
    <t>Converted to true NULL (missing, not imputed)</t>
  </si>
  <si>
    <t>age</t>
  </si>
  <si>
    <t>Not present in source</t>
  </si>
  <si>
    <t>Derived from dob vs transaction date; NULL where dob missing</t>
  </si>
  <si>
    <t>transaction (whole payload)</t>
  </si>
  <si>
    <t>Only 4 unique date/amount/bank combinations repeated across 127 rows</t>
  </si>
  <si>
    <t>Flagged. 4 distinct transactions identified; duplicates NOT deleted (each row has a unique customer)</t>
  </si>
  <si>
    <t>whole row</t>
  </si>
  <si>
    <t>Exact duplicate customer+transaction rows</t>
  </si>
  <si>
    <t>None found - every row is a distinct customer</t>
  </si>
  <si>
    <t>Summary Statistics</t>
  </si>
  <si>
    <t>Record counts</t>
  </si>
  <si>
    <t>Total records</t>
  </si>
  <si>
    <t>Distinct customers</t>
  </si>
  <si>
    <t>Distinct transactions</t>
  </si>
  <si>
    <t>Duplication rate (rows vs distinct tx)</t>
  </si>
  <si>
    <t>Completeness</t>
  </si>
  <si>
    <t>Records with a DOB</t>
  </si>
  <si>
    <t>Records missing a DOB</t>
  </si>
  <si>
    <t>DOB completeness</t>
  </si>
  <si>
    <t>Transaction values (as recorded, duplicates included)</t>
  </si>
  <si>
    <t>Sum of Tx Amount</t>
  </si>
  <si>
    <t>Average Tx Amount</t>
  </si>
  <si>
    <t>Minimum Tx Amount</t>
  </si>
  <si>
    <t>Maximum Tx Amount</t>
  </si>
  <si>
    <t>Web records</t>
  </si>
  <si>
    <t>Mobile records</t>
  </si>
  <si>
    <t>Web value</t>
  </si>
  <si>
    <t>Mobile value</t>
  </si>
  <si>
    <t>Age (45 records with a DOB only)</t>
  </si>
  <si>
    <t>Average age</t>
  </si>
  <si>
    <t>Youngest</t>
  </si>
  <si>
    <t>Oldest</t>
  </si>
  <si>
    <t>By bank</t>
  </si>
  <si>
    <t>Records</t>
  </si>
  <si>
    <t>Value</t>
  </si>
  <si>
    <t>Transaction Dashboard</t>
  </si>
  <si>
    <t>Total value</t>
  </si>
  <si>
    <t>Average value</t>
  </si>
  <si>
    <t>Channel</t>
  </si>
  <si>
    <t>Hour (num)</t>
  </si>
  <si>
    <t>Channel Split</t>
  </si>
  <si>
    <r>
      <rPr>
        <b/>
        <sz val="10"/>
        <rFont val="Aptos Narrow"/>
        <family val="2"/>
        <scheme val="minor"/>
      </rPr>
      <t>Note</t>
    </r>
    <r>
      <rPr>
        <sz val="10"/>
        <rFont val="Aptos Narrow"/>
        <family val="2"/>
        <scheme val="minor"/>
      </rPr>
      <t>: Rows shaded orange affect more than 50 records. Missing DOB values were left NULL rather than imputed, so any age-based figure below covers only the 45 records that have 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</si>
</sst>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4C72B0"/>
      <name val="Aptos Narrow"/>
      <family val="2"/>
      <scheme val="minor"/>
    </font>
    <font>
      <i/>
      <sz val="9"/>
      <color rgb="FFC44E52"/>
      <name val="Aptos Narrow"/>
      <family val="2"/>
      <scheme val="minor"/>
    </font>
    <font>
      <b/>
      <sz val="18"/>
      <color rgb="FF1A1A2E"/>
      <name val="Aptos Narrow"/>
      <family val="2"/>
      <scheme val="minor"/>
    </font>
    <font>
      <b/>
      <sz val="18"/>
      <color rgb="FFC44E52"/>
      <name val="Aptos Narrow"/>
      <family val="2"/>
      <scheme val="minor"/>
    </font>
    <font>
      <b/>
      <sz val="10"/>
      <color rgb="FF6C757D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6C757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CEA"/>
        <bgColor rgb="FFFFFFFF"/>
      </patternFill>
    </fill>
    <fill>
      <patternFill patternType="solid">
        <fgColor rgb="FF4C72B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rgb="FF3333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5" fillId="0" borderId="0" xfId="0" applyFont="1"/>
    <xf numFmtId="0" fontId="7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3" fontId="4" fillId="0" borderId="0" xfId="0" applyNumberFormat="1" applyFont="1"/>
    <xf numFmtId="0" fontId="8" fillId="0" borderId="0" xfId="0" applyFont="1" applyAlignment="1">
      <alignment wrapText="1"/>
    </xf>
    <xf numFmtId="0" fontId="3" fillId="3" borderId="0" xfId="0" applyFont="1" applyFill="1" applyAlignment="1">
      <alignment horizontal="center"/>
    </xf>
    <xf numFmtId="0" fontId="1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3" fontId="13" fillId="0" borderId="2" xfId="0" applyNumberFormat="1" applyFont="1" applyBorder="1" applyAlignment="1">
      <alignment horizontal="left"/>
    </xf>
    <xf numFmtId="0" fontId="13" fillId="2" borderId="2" xfId="0" applyFont="1" applyFill="1" applyBorder="1" applyAlignment="1">
      <alignment horizontal="left" vertical="top"/>
    </xf>
    <xf numFmtId="0" fontId="13" fillId="2" borderId="2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0" fontId="13" fillId="2" borderId="2" xfId="0" applyFont="1" applyFill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4" fillId="0" borderId="0" xfId="0" applyFont="1"/>
    <xf numFmtId="3" fontId="9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3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  <xf numFmtId="0" fontId="12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5BD999BA-432B-4423-9623-3B932E653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Transaction value by bank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Dashboard!$M$5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Dashboard!$K$6:$K$9</c:f>
              <c:strCache>
                <c:ptCount val="4"/>
                <c:pt idx="0">
                  <c:v>ABank</c:v>
                </c:pt>
                <c:pt idx="1">
                  <c:v>GBank</c:v>
                </c:pt>
                <c:pt idx="2">
                  <c:v>KBank</c:v>
                </c:pt>
                <c:pt idx="3">
                  <c:v>QBank</c:v>
                </c:pt>
              </c:strCache>
            </c:strRef>
          </c:cat>
          <c:val>
            <c:numRef>
              <c:f>Dashboard!$M$6:$M$9</c:f>
              <c:numCache>
                <c:formatCode>#,##0</c:formatCode>
                <c:ptCount val="4"/>
                <c:pt idx="0">
                  <c:v>1230240</c:v>
                </c:pt>
                <c:pt idx="1">
                  <c:v>948064</c:v>
                </c:pt>
                <c:pt idx="2">
                  <c:v>861521</c:v>
                </c:pt>
                <c:pt idx="3">
                  <c:v>198144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3-40E4-922E-2BF3D1C86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745417704"/>
        <c:axId val="745421664"/>
      </c:barChart>
      <c:catAx>
        <c:axId val="74541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5421664"/>
        <c:crosses val="autoZero"/>
        <c:auto val="1"/>
        <c:lblAlgn val="ctr"/>
        <c:lblOffset val="100"/>
        <c:noMultiLvlLbl val="0"/>
      </c:catAx>
      <c:valAx>
        <c:axId val="7454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5417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Value split: web vs mobile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Dashboard!$L$11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83-4208-B48A-BFD7D3F87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83-4208-B48A-BFD7D3F87DDF}"/>
              </c:ext>
            </c:extLst>
          </c:dPt>
          <c:cat>
            <c:strRef>
              <c:f>Dashboard!$K$12:$K$13</c:f>
              <c:strCache>
                <c:ptCount val="2"/>
                <c:pt idx="0">
                  <c:v>web</c:v>
                </c:pt>
                <c:pt idx="1">
                  <c:v>mobile</c:v>
                </c:pt>
              </c:strCache>
            </c:strRef>
          </c:cat>
          <c:val>
            <c:numRef>
              <c:f>Dashboard!$L$12:$L$13</c:f>
              <c:numCache>
                <c:formatCode>#,##0</c:formatCode>
                <c:ptCount val="2"/>
                <c:pt idx="0">
                  <c:v>1059665</c:v>
                </c:pt>
                <c:pt idx="1">
                  <c:v>2178304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1-414A-90F6-904EA549B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Records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Dashboard!$L$15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Dashboard!$K$16:$K$20</c:f>
              <c:strCache>
                <c:ptCount val="5"/>
                <c:pt idx="0">
                  <c:v>Under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  <c:pt idx="4">
                  <c:v>Unknown</c:v>
                </c:pt>
              </c:strCache>
            </c:strRef>
          </c:cat>
          <c:val>
            <c:numRef>
              <c:f>Dashboard!$L$16:$L$20</c:f>
              <c:numCache>
                <c:formatCode>#,##0</c:formatCode>
                <c:ptCount val="5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2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5-4FBF-B05A-3D54D10A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5427424"/>
        <c:axId val="745419504"/>
      </c:barChart>
      <c:catAx>
        <c:axId val="74542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5419504"/>
        <c:crosses val="autoZero"/>
        <c:auto val="1"/>
        <c:lblAlgn val="ctr"/>
        <c:lblOffset val="100"/>
        <c:noMultiLvlLbl val="0"/>
      </c:catAx>
      <c:valAx>
        <c:axId val="74541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542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Transactions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Dashboard!$P$5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Dashboard!$O$6:$O$21</c:f>
              <c:strCache>
                <c:ptCount val="16"/>
                <c:pt idx="0">
                  <c:v>05:00</c:v>
                </c:pt>
                <c:pt idx="1">
                  <c:v>06:00</c:v>
                </c:pt>
                <c:pt idx="2">
                  <c:v>07:00</c:v>
                </c:pt>
                <c:pt idx="3">
                  <c:v>08:00</c:v>
                </c:pt>
                <c:pt idx="4">
                  <c:v>09:00</c:v>
                </c:pt>
                <c:pt idx="5">
                  <c:v>10:00</c:v>
                </c:pt>
                <c:pt idx="6">
                  <c:v>11:00</c:v>
                </c:pt>
                <c:pt idx="7">
                  <c:v>12:00</c:v>
                </c:pt>
                <c:pt idx="8">
                  <c:v>13:00</c:v>
                </c:pt>
                <c:pt idx="9">
                  <c:v>14:00</c:v>
                </c:pt>
                <c:pt idx="10">
                  <c:v>15:00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</c:strCache>
            </c:strRef>
          </c:cat>
          <c:val>
            <c:numRef>
              <c:f>Dashboard!$P$6:$P$21</c:f>
              <c:numCache>
                <c:formatCode>#,##0</c:formatCode>
                <c:ptCount val="16"/>
                <c:pt idx="0">
                  <c:v>32</c:v>
                </c:pt>
                <c:pt idx="1">
                  <c:v>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8-4C05-844A-574E0EC3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423824"/>
        <c:axId val="745424184"/>
      </c:barChart>
      <c:catAx>
        <c:axId val="74542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5424184"/>
        <c:crosses val="autoZero"/>
        <c:auto val="1"/>
        <c:lblAlgn val="ctr"/>
        <c:lblOffset val="100"/>
        <c:noMultiLvlLbl val="0"/>
      </c:catAx>
      <c:valAx>
        <c:axId val="74542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54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15903</xdr:colOff>
      <xdr:row>4</xdr:row>
      <xdr:rowOff>24356</xdr:rowOff>
    </xdr:from>
    <xdr:to>
      <xdr:col>4</xdr:col>
      <xdr:colOff>803083</xdr:colOff>
      <xdr:row>16</xdr:row>
      <xdr:rowOff>23856</xdr:rowOff>
    </xdr:to>
    <xdr:graphicFrame macro="">
      <xdr:nvGraphicFramePr>
        <xdr:cNvPr id="2" name="ValueByBank">
          <a:extLst>
            <a:ext uri="{FF2B5EF4-FFF2-40B4-BE49-F238E27FC236}">
              <a16:creationId xmlns:a16="http://schemas.microsoft.com/office/drawing/2014/main" id="{D1EE6B32-9F7D-590F-8C23-05BCB1781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825699</xdr:colOff>
      <xdr:row>4</xdr:row>
      <xdr:rowOff>15728</xdr:rowOff>
    </xdr:from>
    <xdr:to>
      <xdr:col>9</xdr:col>
      <xdr:colOff>7951</xdr:colOff>
      <xdr:row>16</xdr:row>
      <xdr:rowOff>23856</xdr:rowOff>
    </xdr:to>
    <xdr:graphicFrame macro="">
      <xdr:nvGraphicFramePr>
        <xdr:cNvPr id="3" name="ChannelSplit">
          <a:extLst>
            <a:ext uri="{FF2B5EF4-FFF2-40B4-BE49-F238E27FC236}">
              <a16:creationId xmlns:a16="http://schemas.microsoft.com/office/drawing/2014/main" id="{D1B26488-4D25-536E-27ED-835CE9FCF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835677</xdr:colOff>
      <xdr:row>16</xdr:row>
      <xdr:rowOff>66925</xdr:rowOff>
    </xdr:from>
    <xdr:to>
      <xdr:col>9</xdr:col>
      <xdr:colOff>23854</xdr:colOff>
      <xdr:row>28</xdr:row>
      <xdr:rowOff>79519</xdr:rowOff>
    </xdr:to>
    <xdr:graphicFrame macro="">
      <xdr:nvGraphicFramePr>
        <xdr:cNvPr id="5" name="AgeBands">
          <a:extLst>
            <a:ext uri="{FF2B5EF4-FFF2-40B4-BE49-F238E27FC236}">
              <a16:creationId xmlns:a16="http://schemas.microsoft.com/office/drawing/2014/main" id="{CE3DA17A-B55B-545B-F7AB-3857FF8F1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8407</xdr:colOff>
      <xdr:row>16</xdr:row>
      <xdr:rowOff>66250</xdr:rowOff>
    </xdr:from>
    <xdr:to>
      <xdr:col>4</xdr:col>
      <xdr:colOff>811034</xdr:colOff>
      <xdr:row>28</xdr:row>
      <xdr:rowOff>71567</xdr:rowOff>
    </xdr:to>
    <xdr:graphicFrame macro="">
      <xdr:nvGraphicFramePr>
        <xdr:cNvPr id="6" name="ByHour">
          <a:extLst>
            <a:ext uri="{FF2B5EF4-FFF2-40B4-BE49-F238E27FC236}">
              <a16:creationId xmlns:a16="http://schemas.microsoft.com/office/drawing/2014/main" id="{41C1E389-CE94-4073-863A-ECD499329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8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78C235-B12E-420E-9292-C2669B0AC298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e9201d26-de80-4416-a384-abe227079527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48E6-EC6E-496D-89FB-BBA1244A83CB}">
  <dimension ref="A1:C128"/>
  <sheetViews>
    <sheetView workbookViewId="0">
      <selection activeCell="A4" sqref="A4"/>
    </sheetView>
  </sheetViews>
  <sheetFormatPr defaultRowHeight="15.0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8</v>
      </c>
    </row>
    <row r="12" spans="1:3" x14ac:dyDescent="0.3">
      <c r="A12" s="2" t="s">
        <v>32</v>
      </c>
      <c r="B12" s="2" t="s">
        <v>33</v>
      </c>
      <c r="C12" s="2" t="s">
        <v>34</v>
      </c>
    </row>
    <row r="13" spans="1:3" x14ac:dyDescent="0.3">
      <c r="A13" s="2" t="s">
        <v>35</v>
      </c>
      <c r="B13" s="2" t="s">
        <v>36</v>
      </c>
      <c r="C13" s="2" t="s">
        <v>37</v>
      </c>
    </row>
    <row r="14" spans="1:3" x14ac:dyDescent="0.3">
      <c r="A14" s="2" t="s">
        <v>38</v>
      </c>
      <c r="B14" s="2" t="s">
        <v>39</v>
      </c>
      <c r="C14" s="2" t="s">
        <v>17</v>
      </c>
    </row>
    <row r="15" spans="1:3" x14ac:dyDescent="0.3">
      <c r="A15" s="2" t="s">
        <v>40</v>
      </c>
      <c r="B15" s="2" t="s">
        <v>41</v>
      </c>
      <c r="C15" s="2" t="s">
        <v>42</v>
      </c>
    </row>
    <row r="16" spans="1:3" x14ac:dyDescent="0.3">
      <c r="A16" s="2" t="s">
        <v>43</v>
      </c>
      <c r="B16" s="2" t="s">
        <v>44</v>
      </c>
      <c r="C16" s="2" t="s">
        <v>34</v>
      </c>
    </row>
    <row r="17" spans="1:3" x14ac:dyDescent="0.3">
      <c r="A17" s="2" t="s">
        <v>45</v>
      </c>
      <c r="B17" s="2" t="s">
        <v>46</v>
      </c>
      <c r="C17" s="2" t="s">
        <v>37</v>
      </c>
    </row>
    <row r="18" spans="1:3" x14ac:dyDescent="0.3">
      <c r="A18" s="2" t="s">
        <v>47</v>
      </c>
      <c r="B18" s="2" t="s">
        <v>48</v>
      </c>
      <c r="C18" s="2" t="s">
        <v>17</v>
      </c>
    </row>
    <row r="19" spans="1:3" x14ac:dyDescent="0.3">
      <c r="A19" s="2" t="s">
        <v>49</v>
      </c>
      <c r="B19" s="2" t="s">
        <v>50</v>
      </c>
      <c r="C19" s="2" t="s">
        <v>8</v>
      </c>
    </row>
    <row r="20" spans="1:3" x14ac:dyDescent="0.3">
      <c r="A20" s="2" t="s">
        <v>51</v>
      </c>
      <c r="B20" s="2" t="s">
        <v>52</v>
      </c>
      <c r="C20" s="2" t="s">
        <v>34</v>
      </c>
    </row>
    <row r="21" spans="1:3" x14ac:dyDescent="0.3">
      <c r="A21" s="2" t="s">
        <v>53</v>
      </c>
      <c r="B21" s="2" t="s">
        <v>54</v>
      </c>
      <c r="C21" s="2" t="s">
        <v>37</v>
      </c>
    </row>
    <row r="22" spans="1:3" x14ac:dyDescent="0.3">
      <c r="A22" s="2" t="s">
        <v>55</v>
      </c>
      <c r="B22" s="2" t="s">
        <v>56</v>
      </c>
      <c r="C22" s="2" t="s">
        <v>17</v>
      </c>
    </row>
    <row r="23" spans="1:3" x14ac:dyDescent="0.3">
      <c r="A23" s="2" t="s">
        <v>57</v>
      </c>
      <c r="B23" s="2" t="s">
        <v>58</v>
      </c>
      <c r="C23" s="2" t="s">
        <v>8</v>
      </c>
    </row>
    <row r="24" spans="1:3" x14ac:dyDescent="0.3">
      <c r="A24" s="2" t="s">
        <v>59</v>
      </c>
      <c r="B24" s="2" t="s">
        <v>60</v>
      </c>
      <c r="C24" s="2" t="s">
        <v>61</v>
      </c>
    </row>
    <row r="25" spans="1:3" x14ac:dyDescent="0.3">
      <c r="A25" s="2" t="s">
        <v>62</v>
      </c>
      <c r="B25" s="2" t="s">
        <v>63</v>
      </c>
      <c r="C25" s="2" t="s">
        <v>64</v>
      </c>
    </row>
    <row r="26" spans="1:3" x14ac:dyDescent="0.3">
      <c r="A26" s="2" t="s">
        <v>65</v>
      </c>
      <c r="B26" s="2" t="s">
        <v>66</v>
      </c>
      <c r="C26" s="2" t="s">
        <v>67</v>
      </c>
    </row>
    <row r="27" spans="1:3" x14ac:dyDescent="0.3">
      <c r="A27" s="2" t="s">
        <v>68</v>
      </c>
      <c r="B27" s="2" t="s">
        <v>69</v>
      </c>
      <c r="C27" s="2" t="s">
        <v>8</v>
      </c>
    </row>
    <row r="28" spans="1:3" x14ac:dyDescent="0.3">
      <c r="A28" s="2" t="s">
        <v>70</v>
      </c>
      <c r="B28" s="2" t="s">
        <v>71</v>
      </c>
      <c r="C28" s="2" t="s">
        <v>34</v>
      </c>
    </row>
    <row r="29" spans="1:3" x14ac:dyDescent="0.3">
      <c r="A29" s="2" t="s">
        <v>72</v>
      </c>
      <c r="B29" s="2" t="s">
        <v>73</v>
      </c>
      <c r="C29" s="2" t="s">
        <v>37</v>
      </c>
    </row>
    <row r="30" spans="1:3" x14ac:dyDescent="0.3">
      <c r="A30" s="2" t="s">
        <v>74</v>
      </c>
      <c r="B30" s="2" t="s">
        <v>75</v>
      </c>
      <c r="C30" s="2" t="s">
        <v>76</v>
      </c>
    </row>
    <row r="31" spans="1:3" x14ac:dyDescent="0.3">
      <c r="A31" s="2" t="s">
        <v>77</v>
      </c>
      <c r="B31" s="2" t="s">
        <v>78</v>
      </c>
      <c r="C31" s="2" t="s">
        <v>8</v>
      </c>
    </row>
    <row r="32" spans="1:3" x14ac:dyDescent="0.3">
      <c r="A32" s="2" t="s">
        <v>79</v>
      </c>
      <c r="B32" s="2" t="s">
        <v>80</v>
      </c>
      <c r="C32" s="2" t="s">
        <v>34</v>
      </c>
    </row>
    <row r="33" spans="1:3" x14ac:dyDescent="0.3">
      <c r="A33" s="2" t="s">
        <v>81</v>
      </c>
      <c r="B33" s="2" t="s">
        <v>82</v>
      </c>
      <c r="C33" s="2" t="s">
        <v>83</v>
      </c>
    </row>
    <row r="34" spans="1:3" x14ac:dyDescent="0.3">
      <c r="A34" s="2" t="s">
        <v>84</v>
      </c>
      <c r="B34" s="2" t="s">
        <v>85</v>
      </c>
      <c r="C34" s="2" t="s">
        <v>17</v>
      </c>
    </row>
    <row r="35" spans="1:3" x14ac:dyDescent="0.3">
      <c r="A35" s="2" t="s">
        <v>86</v>
      </c>
      <c r="B35" s="2" t="s">
        <v>87</v>
      </c>
      <c r="C35" s="2" t="s">
        <v>8</v>
      </c>
    </row>
    <row r="36" spans="1:3" x14ac:dyDescent="0.3">
      <c r="A36" s="2" t="s">
        <v>88</v>
      </c>
      <c r="B36" s="2" t="s">
        <v>89</v>
      </c>
      <c r="C36" s="2" t="s">
        <v>34</v>
      </c>
    </row>
    <row r="37" spans="1:3" x14ac:dyDescent="0.3">
      <c r="A37" s="2" t="s">
        <v>90</v>
      </c>
      <c r="B37" s="2" t="s">
        <v>91</v>
      </c>
      <c r="C37" s="2" t="s">
        <v>37</v>
      </c>
    </row>
    <row r="38" spans="1:3" x14ac:dyDescent="0.3">
      <c r="A38" s="2" t="s">
        <v>92</v>
      </c>
      <c r="B38" s="2" t="s">
        <v>93</v>
      </c>
      <c r="C38" s="2" t="s">
        <v>17</v>
      </c>
    </row>
    <row r="39" spans="1:3" x14ac:dyDescent="0.3">
      <c r="A39" s="2" t="s">
        <v>94</v>
      </c>
      <c r="B39" s="2" t="s">
        <v>95</v>
      </c>
      <c r="C39" s="2" t="s">
        <v>8</v>
      </c>
    </row>
    <row r="40" spans="1:3" x14ac:dyDescent="0.3">
      <c r="A40" s="2" t="s">
        <v>96</v>
      </c>
      <c r="B40" s="2" t="s">
        <v>97</v>
      </c>
      <c r="C40" s="2" t="s">
        <v>34</v>
      </c>
    </row>
    <row r="41" spans="1:3" x14ac:dyDescent="0.3">
      <c r="A41" s="2" t="s">
        <v>98</v>
      </c>
      <c r="B41" s="2" t="s">
        <v>99</v>
      </c>
      <c r="C41" s="2" t="s">
        <v>37</v>
      </c>
    </row>
    <row r="42" spans="1:3" x14ac:dyDescent="0.3">
      <c r="A42" s="2" t="s">
        <v>100</v>
      </c>
      <c r="B42" s="2" t="s">
        <v>101</v>
      </c>
      <c r="C42" s="2" t="s">
        <v>17</v>
      </c>
    </row>
    <row r="43" spans="1:3" x14ac:dyDescent="0.3">
      <c r="A43" s="2" t="s">
        <v>102</v>
      </c>
      <c r="B43" s="2" t="s">
        <v>103</v>
      </c>
      <c r="C43" s="2" t="s">
        <v>8</v>
      </c>
    </row>
    <row r="44" spans="1:3" x14ac:dyDescent="0.3">
      <c r="A44" s="2" t="s">
        <v>104</v>
      </c>
      <c r="B44" s="2" t="s">
        <v>105</v>
      </c>
      <c r="C44" s="2" t="s">
        <v>106</v>
      </c>
    </row>
    <row r="45" spans="1:3" x14ac:dyDescent="0.3">
      <c r="A45" s="2" t="s">
        <v>107</v>
      </c>
      <c r="B45" s="2" t="s">
        <v>108</v>
      </c>
      <c r="C45" s="2" t="s">
        <v>26</v>
      </c>
    </row>
    <row r="46" spans="1:3" x14ac:dyDescent="0.3">
      <c r="A46" s="2" t="s">
        <v>109</v>
      </c>
      <c r="B46" s="2" t="s">
        <v>110</v>
      </c>
      <c r="C46" s="2" t="s">
        <v>17</v>
      </c>
    </row>
    <row r="47" spans="1:3" x14ac:dyDescent="0.3">
      <c r="A47" s="2" t="s">
        <v>111</v>
      </c>
      <c r="B47" s="2" t="s">
        <v>112</v>
      </c>
      <c r="C47" s="2" t="s">
        <v>113</v>
      </c>
    </row>
    <row r="48" spans="1:3" x14ac:dyDescent="0.3">
      <c r="A48" s="2" t="s">
        <v>114</v>
      </c>
      <c r="B48" s="2" t="s">
        <v>115</v>
      </c>
      <c r="C48" s="2" t="s">
        <v>34</v>
      </c>
    </row>
    <row r="49" spans="1:3" x14ac:dyDescent="0.3">
      <c r="A49" s="2" t="s">
        <v>116</v>
      </c>
      <c r="B49" s="2" t="s">
        <v>117</v>
      </c>
      <c r="C49" s="2" t="s">
        <v>118</v>
      </c>
    </row>
    <row r="50" spans="1:3" x14ac:dyDescent="0.3">
      <c r="A50" s="2" t="s">
        <v>119</v>
      </c>
      <c r="B50" s="2" t="s">
        <v>120</v>
      </c>
      <c r="C50" s="2" t="s">
        <v>121</v>
      </c>
    </row>
    <row r="51" spans="1:3" x14ac:dyDescent="0.3">
      <c r="A51" s="2" t="s">
        <v>122</v>
      </c>
      <c r="B51" s="2" t="s">
        <v>123</v>
      </c>
      <c r="C51" s="2" t="s">
        <v>124</v>
      </c>
    </row>
    <row r="52" spans="1:3" x14ac:dyDescent="0.3">
      <c r="A52" s="2" t="s">
        <v>125</v>
      </c>
      <c r="B52" s="2" t="s">
        <v>126</v>
      </c>
      <c r="C52" s="2" t="s">
        <v>34</v>
      </c>
    </row>
    <row r="53" spans="1:3" x14ac:dyDescent="0.3">
      <c r="A53" s="2" t="s">
        <v>127</v>
      </c>
      <c r="B53" s="2" t="s">
        <v>128</v>
      </c>
      <c r="C53" s="2" t="s">
        <v>37</v>
      </c>
    </row>
    <row r="54" spans="1:3" x14ac:dyDescent="0.3">
      <c r="A54" s="2" t="s">
        <v>129</v>
      </c>
      <c r="B54" s="2" t="s">
        <v>130</v>
      </c>
      <c r="C54" s="2" t="s">
        <v>131</v>
      </c>
    </row>
    <row r="55" spans="1:3" x14ac:dyDescent="0.3">
      <c r="A55" s="2" t="s">
        <v>132</v>
      </c>
      <c r="B55" s="2" t="s">
        <v>133</v>
      </c>
      <c r="C55" s="2" t="s">
        <v>134</v>
      </c>
    </row>
    <row r="56" spans="1:3" x14ac:dyDescent="0.3">
      <c r="A56" s="2" t="s">
        <v>135</v>
      </c>
      <c r="B56" s="2" t="s">
        <v>136</v>
      </c>
      <c r="C56" s="2" t="s">
        <v>34</v>
      </c>
    </row>
    <row r="57" spans="1:3" x14ac:dyDescent="0.3">
      <c r="A57" s="2" t="s">
        <v>137</v>
      </c>
      <c r="B57" s="2" t="s">
        <v>138</v>
      </c>
      <c r="C57" s="2" t="s">
        <v>37</v>
      </c>
    </row>
    <row r="58" spans="1:3" x14ac:dyDescent="0.3">
      <c r="A58" s="2" t="s">
        <v>139</v>
      </c>
      <c r="B58" s="2" t="s">
        <v>140</v>
      </c>
      <c r="C58" s="2" t="s">
        <v>141</v>
      </c>
    </row>
    <row r="59" spans="1:3" x14ac:dyDescent="0.3">
      <c r="A59" s="2" t="s">
        <v>142</v>
      </c>
      <c r="B59" s="2" t="s">
        <v>143</v>
      </c>
      <c r="C59" s="2" t="s">
        <v>8</v>
      </c>
    </row>
    <row r="60" spans="1:3" x14ac:dyDescent="0.3">
      <c r="A60" s="2" t="s">
        <v>144</v>
      </c>
      <c r="B60" s="2" t="s">
        <v>145</v>
      </c>
      <c r="C60" s="2" t="s">
        <v>34</v>
      </c>
    </row>
    <row r="61" spans="1:3" x14ac:dyDescent="0.3">
      <c r="A61" s="2" t="s">
        <v>146</v>
      </c>
      <c r="B61" s="2" t="s">
        <v>147</v>
      </c>
      <c r="C61" s="2" t="s">
        <v>37</v>
      </c>
    </row>
    <row r="62" spans="1:3" x14ac:dyDescent="0.3">
      <c r="A62" s="2" t="s">
        <v>148</v>
      </c>
      <c r="B62" s="2" t="s">
        <v>149</v>
      </c>
      <c r="C62" s="2" t="s">
        <v>17</v>
      </c>
    </row>
    <row r="63" spans="1:3" x14ac:dyDescent="0.3">
      <c r="A63" s="2" t="s">
        <v>150</v>
      </c>
      <c r="B63" s="2" t="s">
        <v>151</v>
      </c>
      <c r="C63" s="2" t="s">
        <v>8</v>
      </c>
    </row>
    <row r="64" spans="1:3" x14ac:dyDescent="0.3">
      <c r="A64" s="2" t="s">
        <v>152</v>
      </c>
      <c r="B64" s="2" t="s">
        <v>153</v>
      </c>
      <c r="C64" s="2" t="s">
        <v>34</v>
      </c>
    </row>
    <row r="65" spans="1:3" x14ac:dyDescent="0.3">
      <c r="A65" s="2" t="s">
        <v>154</v>
      </c>
      <c r="B65" s="2" t="s">
        <v>155</v>
      </c>
      <c r="C65" s="2" t="s">
        <v>37</v>
      </c>
    </row>
    <row r="66" spans="1:3" x14ac:dyDescent="0.3">
      <c r="A66" s="2" t="s">
        <v>156</v>
      </c>
      <c r="B66" s="2" t="s">
        <v>157</v>
      </c>
      <c r="C66" s="2" t="s">
        <v>158</v>
      </c>
    </row>
    <row r="67" spans="1:3" x14ac:dyDescent="0.3">
      <c r="A67" s="2" t="s">
        <v>159</v>
      </c>
      <c r="B67" s="2" t="s">
        <v>160</v>
      </c>
      <c r="C67" s="2" t="s">
        <v>161</v>
      </c>
    </row>
    <row r="68" spans="1:3" x14ac:dyDescent="0.3">
      <c r="A68" s="2" t="s">
        <v>162</v>
      </c>
      <c r="B68" s="2" t="s">
        <v>163</v>
      </c>
      <c r="C68" s="2" t="s">
        <v>164</v>
      </c>
    </row>
    <row r="69" spans="1:3" x14ac:dyDescent="0.3">
      <c r="A69" s="2" t="s">
        <v>165</v>
      </c>
      <c r="B69" s="2" t="s">
        <v>166</v>
      </c>
      <c r="C69" s="2" t="s">
        <v>37</v>
      </c>
    </row>
    <row r="70" spans="1:3" x14ac:dyDescent="0.3">
      <c r="A70" s="2" t="s">
        <v>167</v>
      </c>
      <c r="B70" s="2" t="s">
        <v>168</v>
      </c>
      <c r="C70" s="2" t="s">
        <v>17</v>
      </c>
    </row>
    <row r="71" spans="1:3" x14ac:dyDescent="0.3">
      <c r="A71" s="2" t="s">
        <v>169</v>
      </c>
      <c r="B71" s="2" t="s">
        <v>170</v>
      </c>
      <c r="C71" s="2" t="s">
        <v>8</v>
      </c>
    </row>
    <row r="72" spans="1:3" x14ac:dyDescent="0.3">
      <c r="A72" s="2" t="s">
        <v>171</v>
      </c>
      <c r="B72" s="2" t="s">
        <v>172</v>
      </c>
      <c r="C72" s="2" t="s">
        <v>34</v>
      </c>
    </row>
    <row r="73" spans="1:3" x14ac:dyDescent="0.3">
      <c r="A73" s="2" t="s">
        <v>173</v>
      </c>
      <c r="B73" s="2" t="s">
        <v>174</v>
      </c>
      <c r="C73" s="2" t="s">
        <v>37</v>
      </c>
    </row>
    <row r="74" spans="1:3" x14ac:dyDescent="0.3">
      <c r="A74" s="2" t="s">
        <v>175</v>
      </c>
      <c r="B74" s="2" t="s">
        <v>176</v>
      </c>
      <c r="C74" s="2" t="s">
        <v>17</v>
      </c>
    </row>
    <row r="75" spans="1:3" x14ac:dyDescent="0.3">
      <c r="A75" s="2" t="s">
        <v>177</v>
      </c>
      <c r="B75" s="2" t="s">
        <v>178</v>
      </c>
      <c r="C75" s="2" t="s">
        <v>179</v>
      </c>
    </row>
    <row r="76" spans="1:3" x14ac:dyDescent="0.3">
      <c r="A76" s="2" t="s">
        <v>180</v>
      </c>
      <c r="B76" s="2" t="s">
        <v>181</v>
      </c>
      <c r="C76" s="2" t="s">
        <v>34</v>
      </c>
    </row>
    <row r="77" spans="1:3" x14ac:dyDescent="0.3">
      <c r="A77" s="2" t="s">
        <v>182</v>
      </c>
      <c r="B77" s="2" t="s">
        <v>183</v>
      </c>
      <c r="C77" s="2" t="s">
        <v>37</v>
      </c>
    </row>
    <row r="78" spans="1:3" x14ac:dyDescent="0.3">
      <c r="A78" s="2" t="s">
        <v>184</v>
      </c>
      <c r="B78" s="2" t="s">
        <v>185</v>
      </c>
      <c r="C78" s="2" t="s">
        <v>17</v>
      </c>
    </row>
    <row r="79" spans="1:3" x14ac:dyDescent="0.3">
      <c r="A79" s="2" t="s">
        <v>186</v>
      </c>
      <c r="B79" s="2" t="s">
        <v>187</v>
      </c>
      <c r="C79" s="2" t="s">
        <v>8</v>
      </c>
    </row>
    <row r="80" spans="1:3" x14ac:dyDescent="0.3">
      <c r="A80" s="2" t="s">
        <v>188</v>
      </c>
      <c r="B80" s="2" t="s">
        <v>189</v>
      </c>
      <c r="C80" s="2" t="s">
        <v>190</v>
      </c>
    </row>
    <row r="81" spans="1:3" x14ac:dyDescent="0.3">
      <c r="A81" s="2" t="s">
        <v>191</v>
      </c>
      <c r="B81" s="2" t="s">
        <v>192</v>
      </c>
      <c r="C81" s="2" t="s">
        <v>193</v>
      </c>
    </row>
    <row r="82" spans="1:3" x14ac:dyDescent="0.3">
      <c r="A82" s="2" t="s">
        <v>194</v>
      </c>
      <c r="B82" s="2" t="s">
        <v>195</v>
      </c>
      <c r="C82" s="2" t="s">
        <v>17</v>
      </c>
    </row>
    <row r="83" spans="1:3" x14ac:dyDescent="0.3">
      <c r="A83" s="2" t="s">
        <v>196</v>
      </c>
      <c r="B83" s="2" t="s">
        <v>197</v>
      </c>
      <c r="C83" s="2" t="s">
        <v>8</v>
      </c>
    </row>
    <row r="84" spans="1:3" x14ac:dyDescent="0.3">
      <c r="A84" s="2" t="s">
        <v>198</v>
      </c>
      <c r="B84" s="2" t="s">
        <v>199</v>
      </c>
      <c r="C84" s="2" t="s">
        <v>200</v>
      </c>
    </row>
    <row r="85" spans="1:3" x14ac:dyDescent="0.3">
      <c r="A85" s="2" t="s">
        <v>201</v>
      </c>
      <c r="B85" s="2" t="s">
        <v>202</v>
      </c>
      <c r="C85" s="2" t="s">
        <v>203</v>
      </c>
    </row>
    <row r="86" spans="1:3" x14ac:dyDescent="0.3">
      <c r="A86" s="2" t="s">
        <v>204</v>
      </c>
      <c r="B86" s="2" t="s">
        <v>205</v>
      </c>
      <c r="C86" s="2" t="s">
        <v>206</v>
      </c>
    </row>
    <row r="87" spans="1:3" x14ac:dyDescent="0.3">
      <c r="A87" s="2" t="s">
        <v>207</v>
      </c>
      <c r="B87" s="2" t="s">
        <v>208</v>
      </c>
      <c r="C87" s="2" t="s">
        <v>209</v>
      </c>
    </row>
    <row r="88" spans="1:3" x14ac:dyDescent="0.3">
      <c r="A88" s="2" t="s">
        <v>210</v>
      </c>
      <c r="B88" s="2" t="s">
        <v>211</v>
      </c>
      <c r="C88" s="2" t="s">
        <v>212</v>
      </c>
    </row>
    <row r="89" spans="1:3" x14ac:dyDescent="0.3">
      <c r="A89" s="2" t="s">
        <v>213</v>
      </c>
      <c r="B89" s="2" t="s">
        <v>214</v>
      </c>
      <c r="C89" s="2" t="s">
        <v>37</v>
      </c>
    </row>
    <row r="90" spans="1:3" x14ac:dyDescent="0.3">
      <c r="A90" s="2" t="s">
        <v>215</v>
      </c>
      <c r="B90" s="2" t="s">
        <v>216</v>
      </c>
      <c r="C90" s="2" t="s">
        <v>17</v>
      </c>
    </row>
    <row r="91" spans="1:3" x14ac:dyDescent="0.3">
      <c r="A91" s="2" t="s">
        <v>217</v>
      </c>
      <c r="B91" s="2" t="s">
        <v>218</v>
      </c>
      <c r="C91" s="2" t="s">
        <v>8</v>
      </c>
    </row>
    <row r="92" spans="1:3" x14ac:dyDescent="0.3">
      <c r="A92" s="2" t="s">
        <v>219</v>
      </c>
      <c r="B92" s="2" t="s">
        <v>220</v>
      </c>
      <c r="C92" s="2" t="s">
        <v>34</v>
      </c>
    </row>
    <row r="93" spans="1:3" x14ac:dyDescent="0.3">
      <c r="A93" s="2" t="s">
        <v>221</v>
      </c>
      <c r="B93" s="2" t="s">
        <v>222</v>
      </c>
      <c r="C93" s="2" t="s">
        <v>223</v>
      </c>
    </row>
    <row r="94" spans="1:3" x14ac:dyDescent="0.3">
      <c r="A94" s="2" t="s">
        <v>224</v>
      </c>
      <c r="B94" s="2" t="s">
        <v>225</v>
      </c>
      <c r="C94" s="2" t="s">
        <v>29</v>
      </c>
    </row>
    <row r="95" spans="1:3" x14ac:dyDescent="0.3">
      <c r="A95" s="2" t="s">
        <v>226</v>
      </c>
      <c r="B95" s="2" t="s">
        <v>227</v>
      </c>
      <c r="C95" s="2" t="s">
        <v>228</v>
      </c>
    </row>
    <row r="96" spans="1:3" x14ac:dyDescent="0.3">
      <c r="A96" s="2" t="s">
        <v>229</v>
      </c>
      <c r="B96" s="2" t="s">
        <v>230</v>
      </c>
      <c r="C96" s="2" t="s">
        <v>34</v>
      </c>
    </row>
    <row r="97" spans="1:3" x14ac:dyDescent="0.3">
      <c r="A97" s="2" t="s">
        <v>231</v>
      </c>
      <c r="B97" s="2" t="s">
        <v>232</v>
      </c>
      <c r="C97" s="2" t="s">
        <v>233</v>
      </c>
    </row>
    <row r="98" spans="1:3" x14ac:dyDescent="0.3">
      <c r="A98" s="2" t="s">
        <v>234</v>
      </c>
      <c r="B98" s="2" t="s">
        <v>235</v>
      </c>
      <c r="C98" s="2" t="s">
        <v>17</v>
      </c>
    </row>
    <row r="99" spans="1:3" x14ac:dyDescent="0.3">
      <c r="A99" s="2" t="s">
        <v>236</v>
      </c>
      <c r="B99" s="2" t="s">
        <v>237</v>
      </c>
      <c r="C99" s="2" t="s">
        <v>8</v>
      </c>
    </row>
    <row r="100" spans="1:3" x14ac:dyDescent="0.3">
      <c r="A100" s="2" t="s">
        <v>238</v>
      </c>
      <c r="B100" s="2" t="s">
        <v>239</v>
      </c>
      <c r="C100" s="2" t="s">
        <v>240</v>
      </c>
    </row>
    <row r="101" spans="1:3" x14ac:dyDescent="0.3">
      <c r="A101" s="2" t="s">
        <v>241</v>
      </c>
      <c r="B101" s="2" t="s">
        <v>242</v>
      </c>
      <c r="C101" s="2" t="s">
        <v>37</v>
      </c>
    </row>
    <row r="102" spans="1:3" x14ac:dyDescent="0.3">
      <c r="A102" s="2" t="s">
        <v>243</v>
      </c>
      <c r="B102" s="2" t="s">
        <v>244</v>
      </c>
      <c r="C102" s="2" t="s">
        <v>245</v>
      </c>
    </row>
    <row r="103" spans="1:3" x14ac:dyDescent="0.3">
      <c r="A103" s="2" t="s">
        <v>246</v>
      </c>
      <c r="B103" s="2" t="s">
        <v>247</v>
      </c>
      <c r="C103" s="2" t="s">
        <v>8</v>
      </c>
    </row>
    <row r="104" spans="1:3" x14ac:dyDescent="0.3">
      <c r="A104" s="2" t="s">
        <v>248</v>
      </c>
      <c r="B104" s="2" t="s">
        <v>249</v>
      </c>
      <c r="C104" s="2" t="s">
        <v>34</v>
      </c>
    </row>
    <row r="105" spans="1:3" x14ac:dyDescent="0.3">
      <c r="A105" s="2" t="s">
        <v>250</v>
      </c>
      <c r="B105" s="2" t="s">
        <v>251</v>
      </c>
      <c r="C105" s="2" t="s">
        <v>37</v>
      </c>
    </row>
    <row r="106" spans="1:3" x14ac:dyDescent="0.3">
      <c r="A106" s="2" t="s">
        <v>252</v>
      </c>
      <c r="B106" s="2" t="s">
        <v>253</v>
      </c>
      <c r="C106" s="2" t="s">
        <v>17</v>
      </c>
    </row>
    <row r="107" spans="1:3" x14ac:dyDescent="0.3">
      <c r="A107" s="2" t="s">
        <v>254</v>
      </c>
      <c r="B107" s="2" t="s">
        <v>255</v>
      </c>
      <c r="C107" s="2" t="s">
        <v>8</v>
      </c>
    </row>
    <row r="108" spans="1:3" x14ac:dyDescent="0.3">
      <c r="A108" s="2" t="s">
        <v>256</v>
      </c>
      <c r="B108" s="2" t="s">
        <v>257</v>
      </c>
      <c r="C108" s="2" t="s">
        <v>34</v>
      </c>
    </row>
    <row r="109" spans="1:3" x14ac:dyDescent="0.3">
      <c r="A109" s="2" t="s">
        <v>258</v>
      </c>
      <c r="B109" s="2" t="s">
        <v>259</v>
      </c>
      <c r="C109" s="2" t="s">
        <v>260</v>
      </c>
    </row>
    <row r="110" spans="1:3" x14ac:dyDescent="0.3">
      <c r="A110" s="2" t="s">
        <v>261</v>
      </c>
      <c r="B110" s="2" t="s">
        <v>262</v>
      </c>
      <c r="C110" s="2" t="s">
        <v>263</v>
      </c>
    </row>
    <row r="111" spans="1:3" x14ac:dyDescent="0.3">
      <c r="A111" s="2" t="s">
        <v>264</v>
      </c>
      <c r="B111" s="2" t="s">
        <v>265</v>
      </c>
      <c r="C111" s="2" t="s">
        <v>266</v>
      </c>
    </row>
    <row r="112" spans="1:3" x14ac:dyDescent="0.3">
      <c r="A112" s="2" t="s">
        <v>267</v>
      </c>
      <c r="B112" s="2" t="s">
        <v>268</v>
      </c>
      <c r="C112" s="2" t="s">
        <v>34</v>
      </c>
    </row>
    <row r="113" spans="1:3" x14ac:dyDescent="0.3">
      <c r="A113" s="2" t="s">
        <v>269</v>
      </c>
      <c r="B113" s="2" t="s">
        <v>270</v>
      </c>
      <c r="C113" s="2" t="s">
        <v>37</v>
      </c>
    </row>
    <row r="114" spans="1:3" x14ac:dyDescent="0.3">
      <c r="A114" s="2" t="s">
        <v>271</v>
      </c>
      <c r="B114" s="2" t="s">
        <v>272</v>
      </c>
      <c r="C114" s="2" t="s">
        <v>131</v>
      </c>
    </row>
    <row r="115" spans="1:3" x14ac:dyDescent="0.3">
      <c r="A115" s="2" t="s">
        <v>273</v>
      </c>
      <c r="B115" s="2" t="s">
        <v>274</v>
      </c>
      <c r="C115" s="2" t="s">
        <v>275</v>
      </c>
    </row>
    <row r="116" spans="1:3" x14ac:dyDescent="0.3">
      <c r="A116" s="2" t="s">
        <v>276</v>
      </c>
      <c r="B116" s="2" t="s">
        <v>277</v>
      </c>
      <c r="C116" s="2" t="s">
        <v>34</v>
      </c>
    </row>
    <row r="117" spans="1:3" x14ac:dyDescent="0.3">
      <c r="A117" s="2" t="s">
        <v>278</v>
      </c>
      <c r="B117" s="2" t="s">
        <v>279</v>
      </c>
      <c r="C117" s="2" t="s">
        <v>37</v>
      </c>
    </row>
    <row r="118" spans="1:3" x14ac:dyDescent="0.3">
      <c r="A118" s="2" t="s">
        <v>280</v>
      </c>
      <c r="B118" s="2" t="s">
        <v>281</v>
      </c>
      <c r="C118" s="2" t="s">
        <v>282</v>
      </c>
    </row>
    <row r="119" spans="1:3" x14ac:dyDescent="0.3">
      <c r="A119" s="2" t="s">
        <v>283</v>
      </c>
      <c r="B119" s="2" t="s">
        <v>284</v>
      </c>
      <c r="C119" s="2" t="s">
        <v>8</v>
      </c>
    </row>
    <row r="120" spans="1:3" x14ac:dyDescent="0.3">
      <c r="A120" s="2" t="s">
        <v>285</v>
      </c>
      <c r="B120" s="2" t="s">
        <v>286</v>
      </c>
      <c r="C120" s="2" t="s">
        <v>34</v>
      </c>
    </row>
    <row r="121" spans="1:3" x14ac:dyDescent="0.3">
      <c r="A121" s="2" t="s">
        <v>287</v>
      </c>
      <c r="B121" s="2" t="s">
        <v>288</v>
      </c>
      <c r="C121" s="2" t="s">
        <v>37</v>
      </c>
    </row>
    <row r="122" spans="1:3" x14ac:dyDescent="0.3">
      <c r="A122" s="2" t="s">
        <v>289</v>
      </c>
      <c r="B122" s="2" t="s">
        <v>290</v>
      </c>
      <c r="C122" s="2" t="s">
        <v>17</v>
      </c>
    </row>
    <row r="123" spans="1:3" x14ac:dyDescent="0.3">
      <c r="A123" s="2" t="s">
        <v>291</v>
      </c>
      <c r="B123" s="2" t="s">
        <v>292</v>
      </c>
      <c r="C123" s="2" t="s">
        <v>8</v>
      </c>
    </row>
    <row r="124" spans="1:3" x14ac:dyDescent="0.3">
      <c r="A124" s="2" t="s">
        <v>293</v>
      </c>
      <c r="B124" s="2" t="s">
        <v>294</v>
      </c>
      <c r="C124" s="2" t="s">
        <v>34</v>
      </c>
    </row>
    <row r="125" spans="1:3" x14ac:dyDescent="0.3">
      <c r="A125" s="2" t="s">
        <v>295</v>
      </c>
      <c r="B125" s="2" t="s">
        <v>296</v>
      </c>
      <c r="C125" s="2" t="s">
        <v>37</v>
      </c>
    </row>
    <row r="126" spans="1:3" x14ac:dyDescent="0.3">
      <c r="A126" s="2" t="s">
        <v>297</v>
      </c>
      <c r="B126" s="2" t="s">
        <v>298</v>
      </c>
      <c r="C126" s="2" t="s">
        <v>17</v>
      </c>
    </row>
    <row r="127" spans="1:3" x14ac:dyDescent="0.3">
      <c r="A127" s="2" t="s">
        <v>299</v>
      </c>
      <c r="B127" s="2" t="s">
        <v>300</v>
      </c>
      <c r="C127" s="2" t="s">
        <v>8</v>
      </c>
    </row>
    <row r="128" spans="1:3" x14ac:dyDescent="0.3">
      <c r="A128" s="2" t="s">
        <v>301</v>
      </c>
      <c r="B128" s="2" t="s">
        <v>302</v>
      </c>
      <c r="C128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9976-C5B9-405A-AAA7-CD35EC0039F2}">
  <dimension ref="A1:P128"/>
  <sheetViews>
    <sheetView workbookViewId="0">
      <selection activeCell="D9" sqref="D9"/>
    </sheetView>
  </sheetViews>
  <sheetFormatPr defaultColWidth="8.6640625" defaultRowHeight="15.05" x14ac:dyDescent="0.3"/>
  <cols>
    <col min="1" max="1" width="10" style="17" customWidth="1"/>
    <col min="2" max="2" width="14" style="17" customWidth="1"/>
    <col min="3" max="3" width="20" style="17" customWidth="1"/>
    <col min="4" max="4" width="30" style="17" customWidth="1"/>
    <col min="5" max="5" width="12" style="17" customWidth="1"/>
    <col min="6" max="6" width="7" style="17" customWidth="1"/>
    <col min="7" max="7" width="11" style="17" customWidth="1"/>
    <col min="8" max="8" width="26" style="17" customWidth="1"/>
    <col min="9" max="9" width="12" style="17" customWidth="1"/>
    <col min="10" max="10" width="11" style="17" customWidth="1"/>
    <col min="11" max="11" width="9" style="17" customWidth="1"/>
    <col min="12" max="12" width="12" style="17" customWidth="1"/>
    <col min="13" max="13" width="10" style="17" customWidth="1"/>
    <col min="14" max="14" width="12" style="17" customWidth="1"/>
    <col min="15" max="15" width="10" style="17" customWidth="1"/>
    <col min="16" max="16" width="24" style="17" customWidth="1"/>
    <col min="17" max="16384" width="8.6640625" style="17"/>
  </cols>
  <sheetData>
    <row r="1" spans="1:16" ht="23.95" customHeight="1" x14ac:dyDescent="0.3">
      <c r="A1" s="32" t="s">
        <v>303</v>
      </c>
      <c r="B1" s="32" t="s">
        <v>0</v>
      </c>
      <c r="C1" s="32" t="s">
        <v>1</v>
      </c>
      <c r="D1" s="32" t="s">
        <v>304</v>
      </c>
      <c r="E1" s="32" t="s">
        <v>305</v>
      </c>
      <c r="F1" s="32" t="s">
        <v>306</v>
      </c>
      <c r="G1" s="32" t="s">
        <v>307</v>
      </c>
      <c r="H1" s="32" t="s">
        <v>308</v>
      </c>
      <c r="I1" s="32" t="s">
        <v>309</v>
      </c>
      <c r="J1" s="32" t="s">
        <v>310</v>
      </c>
      <c r="K1" s="32" t="s">
        <v>311</v>
      </c>
      <c r="L1" s="32" t="s">
        <v>312</v>
      </c>
      <c r="M1" s="32" t="s">
        <v>313</v>
      </c>
      <c r="N1" s="32" t="s">
        <v>314</v>
      </c>
      <c r="O1" s="32" t="s">
        <v>315</v>
      </c>
      <c r="P1" s="32" t="s">
        <v>316</v>
      </c>
    </row>
    <row r="2" spans="1:16" x14ac:dyDescent="0.3">
      <c r="A2" s="18">
        <v>1</v>
      </c>
      <c r="B2" s="18" t="s">
        <v>317</v>
      </c>
      <c r="C2" s="18" t="s">
        <v>318</v>
      </c>
      <c r="D2" s="18" t="s">
        <v>319</v>
      </c>
      <c r="E2" s="18" t="s">
        <v>320</v>
      </c>
      <c r="F2" s="18">
        <v>28</v>
      </c>
      <c r="G2" s="18" t="s">
        <v>321</v>
      </c>
      <c r="H2" s="18" t="s">
        <v>322</v>
      </c>
      <c r="I2" s="18" t="s">
        <v>323</v>
      </c>
      <c r="J2" s="18" t="s">
        <v>324</v>
      </c>
      <c r="K2" s="18">
        <v>5</v>
      </c>
      <c r="L2" s="19">
        <v>6192</v>
      </c>
      <c r="M2" s="18" t="s">
        <v>325</v>
      </c>
      <c r="N2" s="18" t="s">
        <v>326</v>
      </c>
      <c r="O2" s="18" t="s">
        <v>327</v>
      </c>
      <c r="P2" s="18" t="s">
        <v>328</v>
      </c>
    </row>
    <row r="3" spans="1:16" x14ac:dyDescent="0.3">
      <c r="A3" s="18">
        <v>2</v>
      </c>
      <c r="B3" s="18" t="s">
        <v>329</v>
      </c>
      <c r="C3" s="18" t="s">
        <v>330</v>
      </c>
      <c r="D3" s="18" t="s">
        <v>331</v>
      </c>
      <c r="E3" s="18"/>
      <c r="F3" s="18"/>
      <c r="G3" s="18" t="s">
        <v>332</v>
      </c>
      <c r="H3" s="18" t="s">
        <v>322</v>
      </c>
      <c r="I3" s="18" t="s">
        <v>333</v>
      </c>
      <c r="J3" s="18" t="s">
        <v>334</v>
      </c>
      <c r="K3" s="18">
        <v>20</v>
      </c>
      <c r="L3" s="19">
        <v>38445</v>
      </c>
      <c r="M3" s="18" t="s">
        <v>325</v>
      </c>
      <c r="N3" s="18" t="s">
        <v>335</v>
      </c>
      <c r="O3" s="18" t="s">
        <v>336</v>
      </c>
      <c r="P3" s="18" t="s">
        <v>337</v>
      </c>
    </row>
    <row r="4" spans="1:16" x14ac:dyDescent="0.3">
      <c r="A4" s="18">
        <v>3</v>
      </c>
      <c r="B4" s="18" t="s">
        <v>338</v>
      </c>
      <c r="C4" s="18" t="s">
        <v>339</v>
      </c>
      <c r="D4" s="18" t="s">
        <v>340</v>
      </c>
      <c r="E4" s="18" t="s">
        <v>341</v>
      </c>
      <c r="F4" s="18">
        <v>28</v>
      </c>
      <c r="G4" s="18" t="s">
        <v>321</v>
      </c>
      <c r="H4" s="18" t="s">
        <v>322</v>
      </c>
      <c r="I4" s="18" t="s">
        <v>323</v>
      </c>
      <c r="J4" s="18" t="s">
        <v>342</v>
      </c>
      <c r="K4" s="18">
        <v>6</v>
      </c>
      <c r="L4" s="19">
        <v>29627</v>
      </c>
      <c r="M4" s="18" t="s">
        <v>325</v>
      </c>
      <c r="N4" s="18" t="s">
        <v>335</v>
      </c>
      <c r="O4" s="18" t="s">
        <v>343</v>
      </c>
      <c r="P4" s="18" t="s">
        <v>344</v>
      </c>
    </row>
    <row r="5" spans="1:16" x14ac:dyDescent="0.3">
      <c r="A5" s="18">
        <v>4</v>
      </c>
      <c r="B5" s="18" t="s">
        <v>345</v>
      </c>
      <c r="C5" s="18" t="s">
        <v>346</v>
      </c>
      <c r="D5" s="18" t="s">
        <v>347</v>
      </c>
      <c r="E5" s="18" t="s">
        <v>348</v>
      </c>
      <c r="F5" s="18">
        <v>39</v>
      </c>
      <c r="G5" s="18" t="s">
        <v>349</v>
      </c>
      <c r="H5" s="18" t="s">
        <v>322</v>
      </c>
      <c r="I5" s="18" t="s">
        <v>323</v>
      </c>
      <c r="J5" s="18" t="s">
        <v>350</v>
      </c>
      <c r="K5" s="18">
        <v>16</v>
      </c>
      <c r="L5" s="19">
        <v>27791</v>
      </c>
      <c r="M5" s="18" t="s">
        <v>325</v>
      </c>
      <c r="N5" s="18" t="s">
        <v>326</v>
      </c>
      <c r="O5" s="18" t="s">
        <v>351</v>
      </c>
      <c r="P5" s="18" t="s">
        <v>352</v>
      </c>
    </row>
    <row r="6" spans="1:16" x14ac:dyDescent="0.3">
      <c r="A6" s="18">
        <v>5</v>
      </c>
      <c r="B6" s="18" t="s">
        <v>353</v>
      </c>
      <c r="C6" s="18" t="s">
        <v>354</v>
      </c>
      <c r="D6" s="18" t="s">
        <v>355</v>
      </c>
      <c r="E6" s="18"/>
      <c r="F6" s="18"/>
      <c r="G6" s="18" t="s">
        <v>332</v>
      </c>
      <c r="H6" s="18" t="s">
        <v>322</v>
      </c>
      <c r="I6" s="18" t="s">
        <v>323</v>
      </c>
      <c r="J6" s="18" t="s">
        <v>324</v>
      </c>
      <c r="K6" s="18">
        <v>5</v>
      </c>
      <c r="L6" s="19">
        <v>6192</v>
      </c>
      <c r="M6" s="18" t="s">
        <v>325</v>
      </c>
      <c r="N6" s="18" t="s">
        <v>326</v>
      </c>
      <c r="O6" s="18" t="s">
        <v>327</v>
      </c>
      <c r="P6" s="18" t="s">
        <v>328</v>
      </c>
    </row>
    <row r="7" spans="1:16" x14ac:dyDescent="0.3">
      <c r="A7" s="18">
        <v>6</v>
      </c>
      <c r="B7" s="18" t="s">
        <v>356</v>
      </c>
      <c r="C7" s="18" t="s">
        <v>357</v>
      </c>
      <c r="D7" s="18" t="s">
        <v>358</v>
      </c>
      <c r="E7" s="18" t="s">
        <v>359</v>
      </c>
      <c r="F7" s="18">
        <v>40</v>
      </c>
      <c r="G7" s="18" t="s">
        <v>360</v>
      </c>
      <c r="H7" s="18" t="s">
        <v>322</v>
      </c>
      <c r="I7" s="18" t="s">
        <v>333</v>
      </c>
      <c r="J7" s="18" t="s">
        <v>334</v>
      </c>
      <c r="K7" s="18">
        <v>20</v>
      </c>
      <c r="L7" s="19">
        <v>38445</v>
      </c>
      <c r="M7" s="18" t="s">
        <v>325</v>
      </c>
      <c r="N7" s="18" t="s">
        <v>335</v>
      </c>
      <c r="O7" s="18" t="s">
        <v>336</v>
      </c>
      <c r="P7" s="18" t="s">
        <v>337</v>
      </c>
    </row>
    <row r="8" spans="1:16" x14ac:dyDescent="0.3">
      <c r="A8" s="18">
        <v>7</v>
      </c>
      <c r="B8" s="18" t="s">
        <v>361</v>
      </c>
      <c r="C8" s="18" t="s">
        <v>362</v>
      </c>
      <c r="D8" s="18" t="s">
        <v>363</v>
      </c>
      <c r="E8" s="18" t="s">
        <v>364</v>
      </c>
      <c r="F8" s="18">
        <v>22</v>
      </c>
      <c r="G8" s="18" t="s">
        <v>321</v>
      </c>
      <c r="H8" s="18" t="s">
        <v>322</v>
      </c>
      <c r="I8" s="18" t="s">
        <v>323</v>
      </c>
      <c r="J8" s="18" t="s">
        <v>342</v>
      </c>
      <c r="K8" s="18">
        <v>6</v>
      </c>
      <c r="L8" s="19">
        <v>29627</v>
      </c>
      <c r="M8" s="18" t="s">
        <v>325</v>
      </c>
      <c r="N8" s="18" t="s">
        <v>335</v>
      </c>
      <c r="O8" s="18" t="s">
        <v>343</v>
      </c>
      <c r="P8" s="18" t="s">
        <v>344</v>
      </c>
    </row>
    <row r="9" spans="1:16" x14ac:dyDescent="0.3">
      <c r="A9" s="18">
        <v>8</v>
      </c>
      <c r="B9" s="18" t="s">
        <v>365</v>
      </c>
      <c r="C9" s="18" t="s">
        <v>366</v>
      </c>
      <c r="D9" s="18" t="s">
        <v>367</v>
      </c>
      <c r="E9" s="18" t="s">
        <v>368</v>
      </c>
      <c r="F9" s="18">
        <v>44</v>
      </c>
      <c r="G9" s="18" t="s">
        <v>360</v>
      </c>
      <c r="H9" s="18" t="s">
        <v>322</v>
      </c>
      <c r="I9" s="18" t="s">
        <v>323</v>
      </c>
      <c r="J9" s="18" t="s">
        <v>350</v>
      </c>
      <c r="K9" s="18">
        <v>16</v>
      </c>
      <c r="L9" s="19">
        <v>27791</v>
      </c>
      <c r="M9" s="18" t="s">
        <v>325</v>
      </c>
      <c r="N9" s="18" t="s">
        <v>326</v>
      </c>
      <c r="O9" s="18" t="s">
        <v>351</v>
      </c>
      <c r="P9" s="18" t="s">
        <v>352</v>
      </c>
    </row>
    <row r="10" spans="1:16" x14ac:dyDescent="0.3">
      <c r="A10" s="18">
        <v>9</v>
      </c>
      <c r="B10" s="18" t="s">
        <v>369</v>
      </c>
      <c r="C10" s="18" t="s">
        <v>370</v>
      </c>
      <c r="D10" s="18" t="s">
        <v>371</v>
      </c>
      <c r="E10" s="18" t="s">
        <v>368</v>
      </c>
      <c r="F10" s="18">
        <v>44</v>
      </c>
      <c r="G10" s="18" t="s">
        <v>360</v>
      </c>
      <c r="H10" s="18" t="s">
        <v>322</v>
      </c>
      <c r="I10" s="18" t="s">
        <v>323</v>
      </c>
      <c r="J10" s="18" t="s">
        <v>324</v>
      </c>
      <c r="K10" s="18">
        <v>5</v>
      </c>
      <c r="L10" s="19">
        <v>6192</v>
      </c>
      <c r="M10" s="18" t="s">
        <v>325</v>
      </c>
      <c r="N10" s="18" t="s">
        <v>326</v>
      </c>
      <c r="O10" s="18" t="s">
        <v>327</v>
      </c>
      <c r="P10" s="18" t="s">
        <v>328</v>
      </c>
    </row>
    <row r="11" spans="1:16" x14ac:dyDescent="0.3">
      <c r="A11" s="18">
        <v>10</v>
      </c>
      <c r="B11" s="18" t="s">
        <v>372</v>
      </c>
      <c r="C11" s="18" t="s">
        <v>373</v>
      </c>
      <c r="D11" s="18" t="s">
        <v>374</v>
      </c>
      <c r="E11" s="18"/>
      <c r="F11" s="18"/>
      <c r="G11" s="18" t="s">
        <v>332</v>
      </c>
      <c r="H11" s="18" t="s">
        <v>322</v>
      </c>
      <c r="I11" s="18" t="s">
        <v>333</v>
      </c>
      <c r="J11" s="18" t="s">
        <v>334</v>
      </c>
      <c r="K11" s="18">
        <v>20</v>
      </c>
      <c r="L11" s="19">
        <v>38445</v>
      </c>
      <c r="M11" s="18" t="s">
        <v>325</v>
      </c>
      <c r="N11" s="18" t="s">
        <v>335</v>
      </c>
      <c r="O11" s="18" t="s">
        <v>336</v>
      </c>
      <c r="P11" s="18" t="s">
        <v>337</v>
      </c>
    </row>
    <row r="12" spans="1:16" x14ac:dyDescent="0.3">
      <c r="A12" s="18">
        <v>11</v>
      </c>
      <c r="B12" s="18" t="s">
        <v>375</v>
      </c>
      <c r="C12" s="18" t="s">
        <v>376</v>
      </c>
      <c r="D12" s="18" t="s">
        <v>377</v>
      </c>
      <c r="E12" s="18"/>
      <c r="F12" s="18"/>
      <c r="G12" s="18" t="s">
        <v>332</v>
      </c>
      <c r="H12" s="18" t="s">
        <v>322</v>
      </c>
      <c r="I12" s="18" t="s">
        <v>323</v>
      </c>
      <c r="J12" s="18" t="s">
        <v>342</v>
      </c>
      <c r="K12" s="18">
        <v>6</v>
      </c>
      <c r="L12" s="19">
        <v>29627</v>
      </c>
      <c r="M12" s="18" t="s">
        <v>325</v>
      </c>
      <c r="N12" s="18" t="s">
        <v>335</v>
      </c>
      <c r="O12" s="18" t="s">
        <v>343</v>
      </c>
      <c r="P12" s="18" t="s">
        <v>344</v>
      </c>
    </row>
    <row r="13" spans="1:16" x14ac:dyDescent="0.3">
      <c r="A13" s="18">
        <v>12</v>
      </c>
      <c r="B13" s="18" t="s">
        <v>378</v>
      </c>
      <c r="C13" s="18" t="s">
        <v>379</v>
      </c>
      <c r="D13" s="18" t="s">
        <v>380</v>
      </c>
      <c r="E13" s="18"/>
      <c r="F13" s="18"/>
      <c r="G13" s="18" t="s">
        <v>332</v>
      </c>
      <c r="H13" s="18" t="s">
        <v>322</v>
      </c>
      <c r="I13" s="18" t="s">
        <v>323</v>
      </c>
      <c r="J13" s="18" t="s">
        <v>350</v>
      </c>
      <c r="K13" s="18">
        <v>16</v>
      </c>
      <c r="L13" s="19">
        <v>27791</v>
      </c>
      <c r="M13" s="18" t="s">
        <v>325</v>
      </c>
      <c r="N13" s="18" t="s">
        <v>326</v>
      </c>
      <c r="O13" s="18" t="s">
        <v>351</v>
      </c>
      <c r="P13" s="18" t="s">
        <v>352</v>
      </c>
    </row>
    <row r="14" spans="1:16" x14ac:dyDescent="0.3">
      <c r="A14" s="18">
        <v>13</v>
      </c>
      <c r="B14" s="18" t="s">
        <v>381</v>
      </c>
      <c r="C14" s="18" t="s">
        <v>382</v>
      </c>
      <c r="D14" s="18" t="s">
        <v>383</v>
      </c>
      <c r="E14" s="18"/>
      <c r="F14" s="18"/>
      <c r="G14" s="18" t="s">
        <v>332</v>
      </c>
      <c r="H14" s="18" t="s">
        <v>322</v>
      </c>
      <c r="I14" s="18" t="s">
        <v>323</v>
      </c>
      <c r="J14" s="18" t="s">
        <v>324</v>
      </c>
      <c r="K14" s="18">
        <v>5</v>
      </c>
      <c r="L14" s="19">
        <v>6192</v>
      </c>
      <c r="M14" s="18" t="s">
        <v>325</v>
      </c>
      <c r="N14" s="18" t="s">
        <v>326</v>
      </c>
      <c r="O14" s="18" t="s">
        <v>327</v>
      </c>
      <c r="P14" s="18" t="s">
        <v>328</v>
      </c>
    </row>
    <row r="15" spans="1:16" x14ac:dyDescent="0.3">
      <c r="A15" s="18">
        <v>14</v>
      </c>
      <c r="B15" s="18" t="s">
        <v>384</v>
      </c>
      <c r="C15" s="18" t="s">
        <v>385</v>
      </c>
      <c r="D15" s="18" t="s">
        <v>386</v>
      </c>
      <c r="E15" s="18" t="s">
        <v>387</v>
      </c>
      <c r="F15" s="18">
        <v>36</v>
      </c>
      <c r="G15" s="18" t="s">
        <v>349</v>
      </c>
      <c r="H15" s="18" t="s">
        <v>322</v>
      </c>
      <c r="I15" s="18" t="s">
        <v>333</v>
      </c>
      <c r="J15" s="18" t="s">
        <v>334</v>
      </c>
      <c r="K15" s="18">
        <v>20</v>
      </c>
      <c r="L15" s="19">
        <v>38445</v>
      </c>
      <c r="M15" s="18" t="s">
        <v>325</v>
      </c>
      <c r="N15" s="18" t="s">
        <v>335</v>
      </c>
      <c r="O15" s="18" t="s">
        <v>336</v>
      </c>
      <c r="P15" s="18" t="s">
        <v>337</v>
      </c>
    </row>
    <row r="16" spans="1:16" x14ac:dyDescent="0.3">
      <c r="A16" s="18">
        <v>15</v>
      </c>
      <c r="B16" s="18" t="s">
        <v>388</v>
      </c>
      <c r="C16" s="18" t="s">
        <v>389</v>
      </c>
      <c r="D16" s="18" t="s">
        <v>390</v>
      </c>
      <c r="E16" s="18"/>
      <c r="F16" s="18"/>
      <c r="G16" s="18" t="s">
        <v>332</v>
      </c>
      <c r="H16" s="18" t="s">
        <v>322</v>
      </c>
      <c r="I16" s="18" t="s">
        <v>323</v>
      </c>
      <c r="J16" s="18" t="s">
        <v>342</v>
      </c>
      <c r="K16" s="18">
        <v>6</v>
      </c>
      <c r="L16" s="19">
        <v>29627</v>
      </c>
      <c r="M16" s="18" t="s">
        <v>325</v>
      </c>
      <c r="N16" s="18" t="s">
        <v>335</v>
      </c>
      <c r="O16" s="18" t="s">
        <v>343</v>
      </c>
      <c r="P16" s="18" t="s">
        <v>344</v>
      </c>
    </row>
    <row r="17" spans="1:16" x14ac:dyDescent="0.3">
      <c r="A17" s="18">
        <v>16</v>
      </c>
      <c r="B17" s="18" t="s">
        <v>391</v>
      </c>
      <c r="C17" s="18" t="s">
        <v>392</v>
      </c>
      <c r="D17" s="18" t="s">
        <v>393</v>
      </c>
      <c r="E17" s="18"/>
      <c r="F17" s="18"/>
      <c r="G17" s="18" t="s">
        <v>332</v>
      </c>
      <c r="H17" s="18" t="s">
        <v>322</v>
      </c>
      <c r="I17" s="18" t="s">
        <v>323</v>
      </c>
      <c r="J17" s="18" t="s">
        <v>350</v>
      </c>
      <c r="K17" s="18">
        <v>16</v>
      </c>
      <c r="L17" s="19">
        <v>27791</v>
      </c>
      <c r="M17" s="18" t="s">
        <v>325</v>
      </c>
      <c r="N17" s="18" t="s">
        <v>326</v>
      </c>
      <c r="O17" s="18" t="s">
        <v>351</v>
      </c>
      <c r="P17" s="18" t="s">
        <v>352</v>
      </c>
    </row>
    <row r="18" spans="1:16" x14ac:dyDescent="0.3">
      <c r="A18" s="18">
        <v>17</v>
      </c>
      <c r="B18" s="18" t="s">
        <v>394</v>
      </c>
      <c r="C18" s="18" t="s">
        <v>395</v>
      </c>
      <c r="D18" s="18" t="s">
        <v>396</v>
      </c>
      <c r="E18" s="18"/>
      <c r="F18" s="18"/>
      <c r="G18" s="18" t="s">
        <v>332</v>
      </c>
      <c r="H18" s="18" t="s">
        <v>322</v>
      </c>
      <c r="I18" s="18" t="s">
        <v>323</v>
      </c>
      <c r="J18" s="18" t="s">
        <v>324</v>
      </c>
      <c r="K18" s="18">
        <v>5</v>
      </c>
      <c r="L18" s="19">
        <v>6192</v>
      </c>
      <c r="M18" s="18" t="s">
        <v>325</v>
      </c>
      <c r="N18" s="18" t="s">
        <v>326</v>
      </c>
      <c r="O18" s="18" t="s">
        <v>327</v>
      </c>
      <c r="P18" s="18" t="s">
        <v>328</v>
      </c>
    </row>
    <row r="19" spans="1:16" x14ac:dyDescent="0.3">
      <c r="A19" s="18">
        <v>18</v>
      </c>
      <c r="B19" s="18" t="s">
        <v>397</v>
      </c>
      <c r="C19" s="18" t="s">
        <v>398</v>
      </c>
      <c r="D19" s="18" t="s">
        <v>399</v>
      </c>
      <c r="E19" s="18"/>
      <c r="F19" s="18"/>
      <c r="G19" s="18" t="s">
        <v>332</v>
      </c>
      <c r="H19" s="18" t="s">
        <v>322</v>
      </c>
      <c r="I19" s="18" t="s">
        <v>333</v>
      </c>
      <c r="J19" s="18" t="s">
        <v>334</v>
      </c>
      <c r="K19" s="18">
        <v>20</v>
      </c>
      <c r="L19" s="19">
        <v>38445</v>
      </c>
      <c r="M19" s="18" t="s">
        <v>325</v>
      </c>
      <c r="N19" s="18" t="s">
        <v>335</v>
      </c>
      <c r="O19" s="18" t="s">
        <v>336</v>
      </c>
      <c r="P19" s="18" t="s">
        <v>337</v>
      </c>
    </row>
    <row r="20" spans="1:16" x14ac:dyDescent="0.3">
      <c r="A20" s="18">
        <v>19</v>
      </c>
      <c r="B20" s="18" t="s">
        <v>400</v>
      </c>
      <c r="C20" s="18" t="s">
        <v>401</v>
      </c>
      <c r="D20" s="18" t="s">
        <v>402</v>
      </c>
      <c r="E20" s="18"/>
      <c r="F20" s="18"/>
      <c r="G20" s="18" t="s">
        <v>332</v>
      </c>
      <c r="H20" s="18" t="s">
        <v>322</v>
      </c>
      <c r="I20" s="18" t="s">
        <v>323</v>
      </c>
      <c r="J20" s="18" t="s">
        <v>342</v>
      </c>
      <c r="K20" s="18">
        <v>6</v>
      </c>
      <c r="L20" s="19">
        <v>29627</v>
      </c>
      <c r="M20" s="18" t="s">
        <v>325</v>
      </c>
      <c r="N20" s="18" t="s">
        <v>335</v>
      </c>
      <c r="O20" s="18" t="s">
        <v>343</v>
      </c>
      <c r="P20" s="18" t="s">
        <v>344</v>
      </c>
    </row>
    <row r="21" spans="1:16" x14ac:dyDescent="0.3">
      <c r="A21" s="18">
        <v>20</v>
      </c>
      <c r="B21" s="18" t="s">
        <v>403</v>
      </c>
      <c r="C21" s="18" t="s">
        <v>404</v>
      </c>
      <c r="D21" s="18" t="s">
        <v>405</v>
      </c>
      <c r="E21" s="18"/>
      <c r="F21" s="18"/>
      <c r="G21" s="18" t="s">
        <v>332</v>
      </c>
      <c r="H21" s="18" t="s">
        <v>322</v>
      </c>
      <c r="I21" s="18" t="s">
        <v>323</v>
      </c>
      <c r="J21" s="18" t="s">
        <v>350</v>
      </c>
      <c r="K21" s="18">
        <v>16</v>
      </c>
      <c r="L21" s="19">
        <v>27791</v>
      </c>
      <c r="M21" s="18" t="s">
        <v>325</v>
      </c>
      <c r="N21" s="18" t="s">
        <v>326</v>
      </c>
      <c r="O21" s="18" t="s">
        <v>351</v>
      </c>
      <c r="P21" s="18" t="s">
        <v>352</v>
      </c>
    </row>
    <row r="22" spans="1:16" x14ac:dyDescent="0.3">
      <c r="A22" s="18">
        <v>21</v>
      </c>
      <c r="B22" s="18" t="s">
        <v>406</v>
      </c>
      <c r="C22" s="18" t="s">
        <v>407</v>
      </c>
      <c r="D22" s="18" t="s">
        <v>408</v>
      </c>
      <c r="E22" s="18"/>
      <c r="F22" s="18"/>
      <c r="G22" s="18" t="s">
        <v>332</v>
      </c>
      <c r="H22" s="18" t="s">
        <v>322</v>
      </c>
      <c r="I22" s="18" t="s">
        <v>323</v>
      </c>
      <c r="J22" s="18" t="s">
        <v>324</v>
      </c>
      <c r="K22" s="18">
        <v>5</v>
      </c>
      <c r="L22" s="19">
        <v>6192</v>
      </c>
      <c r="M22" s="18" t="s">
        <v>325</v>
      </c>
      <c r="N22" s="18" t="s">
        <v>326</v>
      </c>
      <c r="O22" s="18" t="s">
        <v>327</v>
      </c>
      <c r="P22" s="18" t="s">
        <v>328</v>
      </c>
    </row>
    <row r="23" spans="1:16" x14ac:dyDescent="0.3">
      <c r="A23" s="18">
        <v>22</v>
      </c>
      <c r="B23" s="18" t="s">
        <v>409</v>
      </c>
      <c r="C23" s="18" t="s">
        <v>410</v>
      </c>
      <c r="D23" s="18" t="s">
        <v>411</v>
      </c>
      <c r="E23" s="18"/>
      <c r="F23" s="18"/>
      <c r="G23" s="18" t="s">
        <v>332</v>
      </c>
      <c r="H23" s="18" t="s">
        <v>322</v>
      </c>
      <c r="I23" s="18" t="s">
        <v>333</v>
      </c>
      <c r="J23" s="18" t="s">
        <v>334</v>
      </c>
      <c r="K23" s="18">
        <v>20</v>
      </c>
      <c r="L23" s="19">
        <v>38445</v>
      </c>
      <c r="M23" s="18" t="s">
        <v>325</v>
      </c>
      <c r="N23" s="18" t="s">
        <v>335</v>
      </c>
      <c r="O23" s="18" t="s">
        <v>336</v>
      </c>
      <c r="P23" s="18" t="s">
        <v>337</v>
      </c>
    </row>
    <row r="24" spans="1:16" x14ac:dyDescent="0.3">
      <c r="A24" s="18">
        <v>23</v>
      </c>
      <c r="B24" s="18" t="s">
        <v>412</v>
      </c>
      <c r="C24" s="18" t="s">
        <v>413</v>
      </c>
      <c r="D24" s="18" t="s">
        <v>414</v>
      </c>
      <c r="E24" s="18" t="s">
        <v>415</v>
      </c>
      <c r="F24" s="18">
        <v>39</v>
      </c>
      <c r="G24" s="18" t="s">
        <v>349</v>
      </c>
      <c r="H24" s="18" t="s">
        <v>322</v>
      </c>
      <c r="I24" s="18" t="s">
        <v>323</v>
      </c>
      <c r="J24" s="18" t="s">
        <v>342</v>
      </c>
      <c r="K24" s="18">
        <v>6</v>
      </c>
      <c r="L24" s="19">
        <v>29627</v>
      </c>
      <c r="M24" s="18" t="s">
        <v>325</v>
      </c>
      <c r="N24" s="18" t="s">
        <v>335</v>
      </c>
      <c r="O24" s="18" t="s">
        <v>343</v>
      </c>
      <c r="P24" s="18" t="s">
        <v>344</v>
      </c>
    </row>
    <row r="25" spans="1:16" x14ac:dyDescent="0.3">
      <c r="A25" s="18">
        <v>24</v>
      </c>
      <c r="B25" s="18" t="s">
        <v>416</v>
      </c>
      <c r="C25" s="18" t="s">
        <v>417</v>
      </c>
      <c r="D25" s="18" t="s">
        <v>418</v>
      </c>
      <c r="E25" s="18" t="s">
        <v>419</v>
      </c>
      <c r="F25" s="18">
        <v>30</v>
      </c>
      <c r="G25" s="18" t="s">
        <v>349</v>
      </c>
      <c r="H25" s="18" t="s">
        <v>322</v>
      </c>
      <c r="I25" s="18" t="s">
        <v>323</v>
      </c>
      <c r="J25" s="18" t="s">
        <v>350</v>
      </c>
      <c r="K25" s="18">
        <v>16</v>
      </c>
      <c r="L25" s="19">
        <v>27791</v>
      </c>
      <c r="M25" s="18" t="s">
        <v>325</v>
      </c>
      <c r="N25" s="18" t="s">
        <v>326</v>
      </c>
      <c r="O25" s="18" t="s">
        <v>351</v>
      </c>
      <c r="P25" s="18" t="s">
        <v>352</v>
      </c>
    </row>
    <row r="26" spans="1:16" x14ac:dyDescent="0.3">
      <c r="A26" s="18">
        <v>25</v>
      </c>
      <c r="B26" s="18" t="s">
        <v>420</v>
      </c>
      <c r="C26" s="18" t="s">
        <v>421</v>
      </c>
      <c r="D26" s="18" t="s">
        <v>422</v>
      </c>
      <c r="E26" s="18" t="s">
        <v>348</v>
      </c>
      <c r="F26" s="18">
        <v>39</v>
      </c>
      <c r="G26" s="18" t="s">
        <v>349</v>
      </c>
      <c r="H26" s="18" t="s">
        <v>322</v>
      </c>
      <c r="I26" s="18" t="s">
        <v>323</v>
      </c>
      <c r="J26" s="18" t="s">
        <v>324</v>
      </c>
      <c r="K26" s="18">
        <v>5</v>
      </c>
      <c r="L26" s="19">
        <v>6192</v>
      </c>
      <c r="M26" s="18" t="s">
        <v>325</v>
      </c>
      <c r="N26" s="18" t="s">
        <v>326</v>
      </c>
      <c r="O26" s="18" t="s">
        <v>327</v>
      </c>
      <c r="P26" s="18" t="s">
        <v>328</v>
      </c>
    </row>
    <row r="27" spans="1:16" x14ac:dyDescent="0.3">
      <c r="A27" s="18">
        <v>26</v>
      </c>
      <c r="B27" s="18" t="s">
        <v>423</v>
      </c>
      <c r="C27" s="18" t="s">
        <v>424</v>
      </c>
      <c r="D27" s="18" t="s">
        <v>425</v>
      </c>
      <c r="E27" s="18"/>
      <c r="F27" s="18"/>
      <c r="G27" s="18" t="s">
        <v>332</v>
      </c>
      <c r="H27" s="18" t="s">
        <v>322</v>
      </c>
      <c r="I27" s="18" t="s">
        <v>333</v>
      </c>
      <c r="J27" s="18" t="s">
        <v>334</v>
      </c>
      <c r="K27" s="18">
        <v>20</v>
      </c>
      <c r="L27" s="19">
        <v>38445</v>
      </c>
      <c r="M27" s="18" t="s">
        <v>325</v>
      </c>
      <c r="N27" s="18" t="s">
        <v>335</v>
      </c>
      <c r="O27" s="18" t="s">
        <v>336</v>
      </c>
      <c r="P27" s="18" t="s">
        <v>337</v>
      </c>
    </row>
    <row r="28" spans="1:16" x14ac:dyDescent="0.3">
      <c r="A28" s="18">
        <v>27</v>
      </c>
      <c r="B28" s="18" t="s">
        <v>426</v>
      </c>
      <c r="C28" s="18" t="s">
        <v>427</v>
      </c>
      <c r="D28" s="18" t="s">
        <v>428</v>
      </c>
      <c r="E28" s="18"/>
      <c r="F28" s="18"/>
      <c r="G28" s="18" t="s">
        <v>332</v>
      </c>
      <c r="H28" s="18" t="s">
        <v>322</v>
      </c>
      <c r="I28" s="18" t="s">
        <v>323</v>
      </c>
      <c r="J28" s="18" t="s">
        <v>342</v>
      </c>
      <c r="K28" s="18">
        <v>6</v>
      </c>
      <c r="L28" s="19">
        <v>29627</v>
      </c>
      <c r="M28" s="18" t="s">
        <v>325</v>
      </c>
      <c r="N28" s="18" t="s">
        <v>335</v>
      </c>
      <c r="O28" s="18" t="s">
        <v>343</v>
      </c>
      <c r="P28" s="18" t="s">
        <v>344</v>
      </c>
    </row>
    <row r="29" spans="1:16" x14ac:dyDescent="0.3">
      <c r="A29" s="18">
        <v>28</v>
      </c>
      <c r="B29" s="18" t="s">
        <v>429</v>
      </c>
      <c r="C29" s="18" t="s">
        <v>430</v>
      </c>
      <c r="D29" s="18" t="s">
        <v>431</v>
      </c>
      <c r="E29" s="18"/>
      <c r="F29" s="18"/>
      <c r="G29" s="18" t="s">
        <v>332</v>
      </c>
      <c r="H29" s="18" t="s">
        <v>322</v>
      </c>
      <c r="I29" s="18" t="s">
        <v>323</v>
      </c>
      <c r="J29" s="18" t="s">
        <v>350</v>
      </c>
      <c r="K29" s="18">
        <v>16</v>
      </c>
      <c r="L29" s="19">
        <v>27791</v>
      </c>
      <c r="M29" s="18" t="s">
        <v>325</v>
      </c>
      <c r="N29" s="18" t="s">
        <v>326</v>
      </c>
      <c r="O29" s="18" t="s">
        <v>351</v>
      </c>
      <c r="P29" s="18" t="s">
        <v>352</v>
      </c>
    </row>
    <row r="30" spans="1:16" x14ac:dyDescent="0.3">
      <c r="A30" s="18">
        <v>29</v>
      </c>
      <c r="B30" s="18" t="s">
        <v>432</v>
      </c>
      <c r="C30" s="18" t="s">
        <v>433</v>
      </c>
      <c r="D30" s="18" t="s">
        <v>434</v>
      </c>
      <c r="E30" s="18" t="s">
        <v>435</v>
      </c>
      <c r="F30" s="18">
        <v>20</v>
      </c>
      <c r="G30" s="18" t="s">
        <v>321</v>
      </c>
      <c r="H30" s="18" t="s">
        <v>322</v>
      </c>
      <c r="I30" s="18" t="s">
        <v>323</v>
      </c>
      <c r="J30" s="18" t="s">
        <v>324</v>
      </c>
      <c r="K30" s="18">
        <v>5</v>
      </c>
      <c r="L30" s="19">
        <v>6192</v>
      </c>
      <c r="M30" s="18" t="s">
        <v>325</v>
      </c>
      <c r="N30" s="18" t="s">
        <v>326</v>
      </c>
      <c r="O30" s="18" t="s">
        <v>327</v>
      </c>
      <c r="P30" s="18" t="s">
        <v>328</v>
      </c>
    </row>
    <row r="31" spans="1:16" x14ac:dyDescent="0.3">
      <c r="A31" s="18">
        <v>30</v>
      </c>
      <c r="B31" s="18" t="s">
        <v>436</v>
      </c>
      <c r="C31" s="18" t="s">
        <v>437</v>
      </c>
      <c r="D31" s="18" t="s">
        <v>438</v>
      </c>
      <c r="E31" s="18"/>
      <c r="F31" s="18"/>
      <c r="G31" s="18" t="s">
        <v>332</v>
      </c>
      <c r="H31" s="18" t="s">
        <v>322</v>
      </c>
      <c r="I31" s="18" t="s">
        <v>333</v>
      </c>
      <c r="J31" s="18" t="s">
        <v>334</v>
      </c>
      <c r="K31" s="18">
        <v>20</v>
      </c>
      <c r="L31" s="19">
        <v>38445</v>
      </c>
      <c r="M31" s="18" t="s">
        <v>325</v>
      </c>
      <c r="N31" s="18" t="s">
        <v>335</v>
      </c>
      <c r="O31" s="18" t="s">
        <v>336</v>
      </c>
      <c r="P31" s="18" t="s">
        <v>337</v>
      </c>
    </row>
    <row r="32" spans="1:16" x14ac:dyDescent="0.3">
      <c r="A32" s="18">
        <v>31</v>
      </c>
      <c r="B32" s="18" t="s">
        <v>439</v>
      </c>
      <c r="C32" s="18" t="s">
        <v>440</v>
      </c>
      <c r="D32" s="18" t="s">
        <v>441</v>
      </c>
      <c r="E32" s="18"/>
      <c r="F32" s="18"/>
      <c r="G32" s="18" t="s">
        <v>332</v>
      </c>
      <c r="H32" s="18" t="s">
        <v>322</v>
      </c>
      <c r="I32" s="18" t="s">
        <v>323</v>
      </c>
      <c r="J32" s="18" t="s">
        <v>342</v>
      </c>
      <c r="K32" s="18">
        <v>6</v>
      </c>
      <c r="L32" s="19">
        <v>29627</v>
      </c>
      <c r="M32" s="18" t="s">
        <v>325</v>
      </c>
      <c r="N32" s="18" t="s">
        <v>335</v>
      </c>
      <c r="O32" s="18" t="s">
        <v>343</v>
      </c>
      <c r="P32" s="18" t="s">
        <v>344</v>
      </c>
    </row>
    <row r="33" spans="1:16" x14ac:dyDescent="0.3">
      <c r="A33" s="18">
        <v>32</v>
      </c>
      <c r="B33" s="18" t="s">
        <v>442</v>
      </c>
      <c r="C33" s="18" t="s">
        <v>443</v>
      </c>
      <c r="D33" s="18" t="s">
        <v>444</v>
      </c>
      <c r="E33" s="18" t="s">
        <v>445</v>
      </c>
      <c r="F33" s="18">
        <v>41</v>
      </c>
      <c r="G33" s="18" t="s">
        <v>360</v>
      </c>
      <c r="H33" s="18" t="s">
        <v>322</v>
      </c>
      <c r="I33" s="18" t="s">
        <v>323</v>
      </c>
      <c r="J33" s="18" t="s">
        <v>350</v>
      </c>
      <c r="K33" s="18">
        <v>16</v>
      </c>
      <c r="L33" s="19">
        <v>27791</v>
      </c>
      <c r="M33" s="18" t="s">
        <v>325</v>
      </c>
      <c r="N33" s="18" t="s">
        <v>326</v>
      </c>
      <c r="O33" s="18" t="s">
        <v>351</v>
      </c>
      <c r="P33" s="18" t="s">
        <v>352</v>
      </c>
    </row>
    <row r="34" spans="1:16" x14ac:dyDescent="0.3">
      <c r="A34" s="18">
        <v>33</v>
      </c>
      <c r="B34" s="18" t="s">
        <v>446</v>
      </c>
      <c r="C34" s="18" t="s">
        <v>447</v>
      </c>
      <c r="D34" s="18" t="s">
        <v>448</v>
      </c>
      <c r="E34" s="18"/>
      <c r="F34" s="18"/>
      <c r="G34" s="18" t="s">
        <v>332</v>
      </c>
      <c r="H34" s="18" t="s">
        <v>322</v>
      </c>
      <c r="I34" s="18" t="s">
        <v>323</v>
      </c>
      <c r="J34" s="18" t="s">
        <v>324</v>
      </c>
      <c r="K34" s="18">
        <v>5</v>
      </c>
      <c r="L34" s="19">
        <v>6192</v>
      </c>
      <c r="M34" s="18" t="s">
        <v>325</v>
      </c>
      <c r="N34" s="18" t="s">
        <v>326</v>
      </c>
      <c r="O34" s="18" t="s">
        <v>327</v>
      </c>
      <c r="P34" s="18" t="s">
        <v>328</v>
      </c>
    </row>
    <row r="35" spans="1:16" x14ac:dyDescent="0.3">
      <c r="A35" s="18">
        <v>34</v>
      </c>
      <c r="B35" s="18" t="s">
        <v>449</v>
      </c>
      <c r="C35" s="18" t="s">
        <v>450</v>
      </c>
      <c r="D35" s="18" t="s">
        <v>451</v>
      </c>
      <c r="E35" s="18"/>
      <c r="F35" s="18"/>
      <c r="G35" s="18" t="s">
        <v>332</v>
      </c>
      <c r="H35" s="18" t="s">
        <v>322</v>
      </c>
      <c r="I35" s="18" t="s">
        <v>333</v>
      </c>
      <c r="J35" s="18" t="s">
        <v>334</v>
      </c>
      <c r="K35" s="18">
        <v>20</v>
      </c>
      <c r="L35" s="19">
        <v>38445</v>
      </c>
      <c r="M35" s="18" t="s">
        <v>325</v>
      </c>
      <c r="N35" s="18" t="s">
        <v>335</v>
      </c>
      <c r="O35" s="18" t="s">
        <v>336</v>
      </c>
      <c r="P35" s="18" t="s">
        <v>337</v>
      </c>
    </row>
    <row r="36" spans="1:16" x14ac:dyDescent="0.3">
      <c r="A36" s="18">
        <v>35</v>
      </c>
      <c r="B36" s="18" t="s">
        <v>452</v>
      </c>
      <c r="C36" s="18" t="s">
        <v>453</v>
      </c>
      <c r="D36" s="18" t="s">
        <v>454</v>
      </c>
      <c r="E36" s="18"/>
      <c r="F36" s="18"/>
      <c r="G36" s="18" t="s">
        <v>332</v>
      </c>
      <c r="H36" s="18" t="s">
        <v>322</v>
      </c>
      <c r="I36" s="18" t="s">
        <v>323</v>
      </c>
      <c r="J36" s="18" t="s">
        <v>342</v>
      </c>
      <c r="K36" s="18">
        <v>6</v>
      </c>
      <c r="L36" s="19">
        <v>29627</v>
      </c>
      <c r="M36" s="18" t="s">
        <v>325</v>
      </c>
      <c r="N36" s="18" t="s">
        <v>335</v>
      </c>
      <c r="O36" s="18" t="s">
        <v>343</v>
      </c>
      <c r="P36" s="18" t="s">
        <v>344</v>
      </c>
    </row>
    <row r="37" spans="1:16" x14ac:dyDescent="0.3">
      <c r="A37" s="18">
        <v>36</v>
      </c>
      <c r="B37" s="18" t="s">
        <v>455</v>
      </c>
      <c r="C37" s="18" t="s">
        <v>456</v>
      </c>
      <c r="D37" s="18" t="s">
        <v>457</v>
      </c>
      <c r="E37" s="18"/>
      <c r="F37" s="18"/>
      <c r="G37" s="18" t="s">
        <v>332</v>
      </c>
      <c r="H37" s="18" t="s">
        <v>322</v>
      </c>
      <c r="I37" s="18" t="s">
        <v>323</v>
      </c>
      <c r="J37" s="18" t="s">
        <v>350</v>
      </c>
      <c r="K37" s="18">
        <v>16</v>
      </c>
      <c r="L37" s="19">
        <v>27791</v>
      </c>
      <c r="M37" s="18" t="s">
        <v>325</v>
      </c>
      <c r="N37" s="18" t="s">
        <v>326</v>
      </c>
      <c r="O37" s="18" t="s">
        <v>351</v>
      </c>
      <c r="P37" s="18" t="s">
        <v>352</v>
      </c>
    </row>
    <row r="38" spans="1:16" x14ac:dyDescent="0.3">
      <c r="A38" s="18">
        <v>37</v>
      </c>
      <c r="B38" s="18" t="s">
        <v>458</v>
      </c>
      <c r="C38" s="18" t="s">
        <v>459</v>
      </c>
      <c r="D38" s="18" t="s">
        <v>460</v>
      </c>
      <c r="E38" s="18"/>
      <c r="F38" s="18"/>
      <c r="G38" s="18" t="s">
        <v>332</v>
      </c>
      <c r="H38" s="18" t="s">
        <v>322</v>
      </c>
      <c r="I38" s="18" t="s">
        <v>323</v>
      </c>
      <c r="J38" s="18" t="s">
        <v>324</v>
      </c>
      <c r="K38" s="18">
        <v>5</v>
      </c>
      <c r="L38" s="19">
        <v>6192</v>
      </c>
      <c r="M38" s="18" t="s">
        <v>325</v>
      </c>
      <c r="N38" s="18" t="s">
        <v>326</v>
      </c>
      <c r="O38" s="18" t="s">
        <v>327</v>
      </c>
      <c r="P38" s="18" t="s">
        <v>328</v>
      </c>
    </row>
    <row r="39" spans="1:16" x14ac:dyDescent="0.3">
      <c r="A39" s="18">
        <v>38</v>
      </c>
      <c r="B39" s="18" t="s">
        <v>461</v>
      </c>
      <c r="C39" s="18" t="s">
        <v>462</v>
      </c>
      <c r="D39" s="18" t="s">
        <v>463</v>
      </c>
      <c r="E39" s="18"/>
      <c r="F39" s="18"/>
      <c r="G39" s="18" t="s">
        <v>332</v>
      </c>
      <c r="H39" s="18" t="s">
        <v>322</v>
      </c>
      <c r="I39" s="18" t="s">
        <v>333</v>
      </c>
      <c r="J39" s="18" t="s">
        <v>334</v>
      </c>
      <c r="K39" s="18">
        <v>20</v>
      </c>
      <c r="L39" s="19">
        <v>38445</v>
      </c>
      <c r="M39" s="18" t="s">
        <v>325</v>
      </c>
      <c r="N39" s="18" t="s">
        <v>335</v>
      </c>
      <c r="O39" s="18" t="s">
        <v>336</v>
      </c>
      <c r="P39" s="18" t="s">
        <v>337</v>
      </c>
    </row>
    <row r="40" spans="1:16" x14ac:dyDescent="0.3">
      <c r="A40" s="18">
        <v>39</v>
      </c>
      <c r="B40" s="18" t="s">
        <v>464</v>
      </c>
      <c r="C40" s="18" t="s">
        <v>465</v>
      </c>
      <c r="D40" s="18" t="s">
        <v>466</v>
      </c>
      <c r="E40" s="18"/>
      <c r="F40" s="18"/>
      <c r="G40" s="18" t="s">
        <v>332</v>
      </c>
      <c r="H40" s="18" t="s">
        <v>322</v>
      </c>
      <c r="I40" s="18" t="s">
        <v>323</v>
      </c>
      <c r="J40" s="18" t="s">
        <v>342</v>
      </c>
      <c r="K40" s="18">
        <v>6</v>
      </c>
      <c r="L40" s="19">
        <v>29627</v>
      </c>
      <c r="M40" s="18" t="s">
        <v>325</v>
      </c>
      <c r="N40" s="18" t="s">
        <v>335</v>
      </c>
      <c r="O40" s="18" t="s">
        <v>343</v>
      </c>
      <c r="P40" s="18" t="s">
        <v>344</v>
      </c>
    </row>
    <row r="41" spans="1:16" x14ac:dyDescent="0.3">
      <c r="A41" s="18">
        <v>40</v>
      </c>
      <c r="B41" s="18" t="s">
        <v>467</v>
      </c>
      <c r="C41" s="18" t="s">
        <v>468</v>
      </c>
      <c r="D41" s="18" t="s">
        <v>469</v>
      </c>
      <c r="E41" s="18"/>
      <c r="F41" s="18"/>
      <c r="G41" s="18" t="s">
        <v>332</v>
      </c>
      <c r="H41" s="18" t="s">
        <v>322</v>
      </c>
      <c r="I41" s="18" t="s">
        <v>323</v>
      </c>
      <c r="J41" s="18" t="s">
        <v>350</v>
      </c>
      <c r="K41" s="18">
        <v>16</v>
      </c>
      <c r="L41" s="19">
        <v>27791</v>
      </c>
      <c r="M41" s="18" t="s">
        <v>325</v>
      </c>
      <c r="N41" s="18" t="s">
        <v>326</v>
      </c>
      <c r="O41" s="18" t="s">
        <v>351</v>
      </c>
      <c r="P41" s="18" t="s">
        <v>352</v>
      </c>
    </row>
    <row r="42" spans="1:16" x14ac:dyDescent="0.3">
      <c r="A42" s="18">
        <v>41</v>
      </c>
      <c r="B42" s="18" t="s">
        <v>470</v>
      </c>
      <c r="C42" s="18" t="s">
        <v>471</v>
      </c>
      <c r="D42" s="18" t="s">
        <v>472</v>
      </c>
      <c r="E42" s="18"/>
      <c r="F42" s="18"/>
      <c r="G42" s="18" t="s">
        <v>332</v>
      </c>
      <c r="H42" s="18" t="s">
        <v>322</v>
      </c>
      <c r="I42" s="18" t="s">
        <v>323</v>
      </c>
      <c r="J42" s="18" t="s">
        <v>324</v>
      </c>
      <c r="K42" s="18">
        <v>5</v>
      </c>
      <c r="L42" s="19">
        <v>6192</v>
      </c>
      <c r="M42" s="18" t="s">
        <v>325</v>
      </c>
      <c r="N42" s="18" t="s">
        <v>326</v>
      </c>
      <c r="O42" s="18" t="s">
        <v>327</v>
      </c>
      <c r="P42" s="18" t="s">
        <v>328</v>
      </c>
    </row>
    <row r="43" spans="1:16" x14ac:dyDescent="0.3">
      <c r="A43" s="18">
        <v>42</v>
      </c>
      <c r="B43" s="18" t="s">
        <v>473</v>
      </c>
      <c r="C43" s="18" t="s">
        <v>474</v>
      </c>
      <c r="D43" s="18" t="s">
        <v>475</v>
      </c>
      <c r="E43" s="18"/>
      <c r="F43" s="18"/>
      <c r="G43" s="18" t="s">
        <v>332</v>
      </c>
      <c r="H43" s="18" t="s">
        <v>322</v>
      </c>
      <c r="I43" s="18" t="s">
        <v>333</v>
      </c>
      <c r="J43" s="18" t="s">
        <v>334</v>
      </c>
      <c r="K43" s="18">
        <v>20</v>
      </c>
      <c r="L43" s="19">
        <v>38445</v>
      </c>
      <c r="M43" s="18" t="s">
        <v>325</v>
      </c>
      <c r="N43" s="18" t="s">
        <v>335</v>
      </c>
      <c r="O43" s="18" t="s">
        <v>336</v>
      </c>
      <c r="P43" s="18" t="s">
        <v>337</v>
      </c>
    </row>
    <row r="44" spans="1:16" x14ac:dyDescent="0.3">
      <c r="A44" s="18">
        <v>43</v>
      </c>
      <c r="B44" s="18" t="s">
        <v>476</v>
      </c>
      <c r="C44" s="18" t="s">
        <v>477</v>
      </c>
      <c r="D44" s="18" t="s">
        <v>478</v>
      </c>
      <c r="E44" s="18" t="s">
        <v>479</v>
      </c>
      <c r="F44" s="18">
        <v>51</v>
      </c>
      <c r="G44" s="18" t="s">
        <v>480</v>
      </c>
      <c r="H44" s="18" t="s">
        <v>322</v>
      </c>
      <c r="I44" s="18" t="s">
        <v>323</v>
      </c>
      <c r="J44" s="18" t="s">
        <v>342</v>
      </c>
      <c r="K44" s="18">
        <v>6</v>
      </c>
      <c r="L44" s="19">
        <v>29627</v>
      </c>
      <c r="M44" s="18" t="s">
        <v>325</v>
      </c>
      <c r="N44" s="18" t="s">
        <v>335</v>
      </c>
      <c r="O44" s="18" t="s">
        <v>343</v>
      </c>
      <c r="P44" s="18" t="s">
        <v>344</v>
      </c>
    </row>
    <row r="45" spans="1:16" x14ac:dyDescent="0.3">
      <c r="A45" s="18">
        <v>44</v>
      </c>
      <c r="B45" s="18" t="s">
        <v>481</v>
      </c>
      <c r="C45" s="18" t="s">
        <v>482</v>
      </c>
      <c r="D45" s="18" t="s">
        <v>483</v>
      </c>
      <c r="E45" s="18" t="s">
        <v>368</v>
      </c>
      <c r="F45" s="18">
        <v>44</v>
      </c>
      <c r="G45" s="18" t="s">
        <v>360</v>
      </c>
      <c r="H45" s="18" t="s">
        <v>322</v>
      </c>
      <c r="I45" s="18" t="s">
        <v>323</v>
      </c>
      <c r="J45" s="18" t="s">
        <v>350</v>
      </c>
      <c r="K45" s="18">
        <v>16</v>
      </c>
      <c r="L45" s="19">
        <v>27791</v>
      </c>
      <c r="M45" s="18" t="s">
        <v>325</v>
      </c>
      <c r="N45" s="18" t="s">
        <v>326</v>
      </c>
      <c r="O45" s="18" t="s">
        <v>351</v>
      </c>
      <c r="P45" s="18" t="s">
        <v>352</v>
      </c>
    </row>
    <row r="46" spans="1:16" x14ac:dyDescent="0.3">
      <c r="A46" s="18">
        <v>45</v>
      </c>
      <c r="B46" s="18" t="s">
        <v>484</v>
      </c>
      <c r="C46" s="18" t="s">
        <v>485</v>
      </c>
      <c r="D46" s="18" t="s">
        <v>486</v>
      </c>
      <c r="E46" s="18"/>
      <c r="F46" s="18"/>
      <c r="G46" s="18" t="s">
        <v>332</v>
      </c>
      <c r="H46" s="18" t="s">
        <v>322</v>
      </c>
      <c r="I46" s="18" t="s">
        <v>323</v>
      </c>
      <c r="J46" s="18" t="s">
        <v>324</v>
      </c>
      <c r="K46" s="18">
        <v>5</v>
      </c>
      <c r="L46" s="19">
        <v>6192</v>
      </c>
      <c r="M46" s="18" t="s">
        <v>325</v>
      </c>
      <c r="N46" s="18" t="s">
        <v>326</v>
      </c>
      <c r="O46" s="18" t="s">
        <v>327</v>
      </c>
      <c r="P46" s="18" t="s">
        <v>328</v>
      </c>
    </row>
    <row r="47" spans="1:16" x14ac:dyDescent="0.3">
      <c r="A47" s="18">
        <v>46</v>
      </c>
      <c r="B47" s="18" t="s">
        <v>487</v>
      </c>
      <c r="C47" s="18" t="s">
        <v>488</v>
      </c>
      <c r="D47" s="18" t="s">
        <v>489</v>
      </c>
      <c r="E47" s="18" t="s">
        <v>490</v>
      </c>
      <c r="F47" s="18">
        <v>45</v>
      </c>
      <c r="G47" s="18" t="s">
        <v>360</v>
      </c>
      <c r="H47" s="18" t="s">
        <v>322</v>
      </c>
      <c r="I47" s="18" t="s">
        <v>333</v>
      </c>
      <c r="J47" s="18" t="s">
        <v>334</v>
      </c>
      <c r="K47" s="18">
        <v>20</v>
      </c>
      <c r="L47" s="19">
        <v>38445</v>
      </c>
      <c r="M47" s="18" t="s">
        <v>325</v>
      </c>
      <c r="N47" s="18" t="s">
        <v>335</v>
      </c>
      <c r="O47" s="18" t="s">
        <v>336</v>
      </c>
      <c r="P47" s="18" t="s">
        <v>337</v>
      </c>
    </row>
    <row r="48" spans="1:16" x14ac:dyDescent="0.3">
      <c r="A48" s="18">
        <v>47</v>
      </c>
      <c r="B48" s="18" t="s">
        <v>491</v>
      </c>
      <c r="C48" s="18" t="s">
        <v>492</v>
      </c>
      <c r="D48" s="18" t="s">
        <v>493</v>
      </c>
      <c r="E48" s="18"/>
      <c r="F48" s="18"/>
      <c r="G48" s="18" t="s">
        <v>332</v>
      </c>
      <c r="H48" s="18" t="s">
        <v>322</v>
      </c>
      <c r="I48" s="18" t="s">
        <v>323</v>
      </c>
      <c r="J48" s="18" t="s">
        <v>342</v>
      </c>
      <c r="K48" s="18">
        <v>6</v>
      </c>
      <c r="L48" s="19">
        <v>29627</v>
      </c>
      <c r="M48" s="18" t="s">
        <v>325</v>
      </c>
      <c r="N48" s="18" t="s">
        <v>335</v>
      </c>
      <c r="O48" s="18" t="s">
        <v>343</v>
      </c>
      <c r="P48" s="18" t="s">
        <v>344</v>
      </c>
    </row>
    <row r="49" spans="1:16" x14ac:dyDescent="0.3">
      <c r="A49" s="18">
        <v>48</v>
      </c>
      <c r="B49" s="18" t="s">
        <v>494</v>
      </c>
      <c r="C49" s="18" t="s">
        <v>495</v>
      </c>
      <c r="D49" s="18" t="s">
        <v>496</v>
      </c>
      <c r="E49" s="18" t="s">
        <v>497</v>
      </c>
      <c r="F49" s="18">
        <v>27</v>
      </c>
      <c r="G49" s="18" t="s">
        <v>321</v>
      </c>
      <c r="H49" s="18" t="s">
        <v>322</v>
      </c>
      <c r="I49" s="18" t="s">
        <v>323</v>
      </c>
      <c r="J49" s="18" t="s">
        <v>350</v>
      </c>
      <c r="K49" s="18">
        <v>16</v>
      </c>
      <c r="L49" s="19">
        <v>27791</v>
      </c>
      <c r="M49" s="18" t="s">
        <v>325</v>
      </c>
      <c r="N49" s="18" t="s">
        <v>326</v>
      </c>
      <c r="O49" s="18" t="s">
        <v>351</v>
      </c>
      <c r="P49" s="18" t="s">
        <v>352</v>
      </c>
    </row>
    <row r="50" spans="1:16" x14ac:dyDescent="0.3">
      <c r="A50" s="18">
        <v>49</v>
      </c>
      <c r="B50" s="18" t="s">
        <v>498</v>
      </c>
      <c r="C50" s="18" t="s">
        <v>499</v>
      </c>
      <c r="D50" s="18" t="s">
        <v>500</v>
      </c>
      <c r="E50" s="18" t="s">
        <v>501</v>
      </c>
      <c r="F50" s="18">
        <v>32</v>
      </c>
      <c r="G50" s="18" t="s">
        <v>349</v>
      </c>
      <c r="H50" s="18" t="s">
        <v>322</v>
      </c>
      <c r="I50" s="18" t="s">
        <v>323</v>
      </c>
      <c r="J50" s="18" t="s">
        <v>324</v>
      </c>
      <c r="K50" s="18">
        <v>5</v>
      </c>
      <c r="L50" s="19">
        <v>6192</v>
      </c>
      <c r="M50" s="18" t="s">
        <v>325</v>
      </c>
      <c r="N50" s="18" t="s">
        <v>326</v>
      </c>
      <c r="O50" s="18" t="s">
        <v>327</v>
      </c>
      <c r="P50" s="18" t="s">
        <v>328</v>
      </c>
    </row>
    <row r="51" spans="1:16" x14ac:dyDescent="0.3">
      <c r="A51" s="18">
        <v>50</v>
      </c>
      <c r="B51" s="18" t="s">
        <v>502</v>
      </c>
      <c r="C51" s="18" t="s">
        <v>503</v>
      </c>
      <c r="D51" s="18" t="s">
        <v>504</v>
      </c>
      <c r="E51" s="18" t="s">
        <v>505</v>
      </c>
      <c r="F51" s="18">
        <v>40</v>
      </c>
      <c r="G51" s="18" t="s">
        <v>360</v>
      </c>
      <c r="H51" s="18" t="s">
        <v>322</v>
      </c>
      <c r="I51" s="18" t="s">
        <v>333</v>
      </c>
      <c r="J51" s="18" t="s">
        <v>334</v>
      </c>
      <c r="K51" s="18">
        <v>20</v>
      </c>
      <c r="L51" s="19">
        <v>38445</v>
      </c>
      <c r="M51" s="18" t="s">
        <v>325</v>
      </c>
      <c r="N51" s="18" t="s">
        <v>335</v>
      </c>
      <c r="O51" s="18" t="s">
        <v>336</v>
      </c>
      <c r="P51" s="18" t="s">
        <v>337</v>
      </c>
    </row>
    <row r="52" spans="1:16" x14ac:dyDescent="0.3">
      <c r="A52" s="18">
        <v>51</v>
      </c>
      <c r="B52" s="18" t="s">
        <v>506</v>
      </c>
      <c r="C52" s="18" t="s">
        <v>507</v>
      </c>
      <c r="D52" s="18" t="s">
        <v>508</v>
      </c>
      <c r="E52" s="18"/>
      <c r="F52" s="18"/>
      <c r="G52" s="18" t="s">
        <v>332</v>
      </c>
      <c r="H52" s="18" t="s">
        <v>322</v>
      </c>
      <c r="I52" s="18" t="s">
        <v>323</v>
      </c>
      <c r="J52" s="18" t="s">
        <v>342</v>
      </c>
      <c r="K52" s="18">
        <v>6</v>
      </c>
      <c r="L52" s="19">
        <v>29627</v>
      </c>
      <c r="M52" s="18" t="s">
        <v>325</v>
      </c>
      <c r="N52" s="18" t="s">
        <v>335</v>
      </c>
      <c r="O52" s="18" t="s">
        <v>343</v>
      </c>
      <c r="P52" s="18" t="s">
        <v>344</v>
      </c>
    </row>
    <row r="53" spans="1:16" x14ac:dyDescent="0.3">
      <c r="A53" s="18">
        <v>52</v>
      </c>
      <c r="B53" s="18" t="s">
        <v>509</v>
      </c>
      <c r="C53" s="18" t="s">
        <v>510</v>
      </c>
      <c r="D53" s="18" t="s">
        <v>511</v>
      </c>
      <c r="E53" s="18"/>
      <c r="F53" s="18"/>
      <c r="G53" s="18" t="s">
        <v>332</v>
      </c>
      <c r="H53" s="18" t="s">
        <v>322</v>
      </c>
      <c r="I53" s="18" t="s">
        <v>323</v>
      </c>
      <c r="J53" s="18" t="s">
        <v>350</v>
      </c>
      <c r="K53" s="18">
        <v>16</v>
      </c>
      <c r="L53" s="19">
        <v>27791</v>
      </c>
      <c r="M53" s="18" t="s">
        <v>325</v>
      </c>
      <c r="N53" s="18" t="s">
        <v>326</v>
      </c>
      <c r="O53" s="18" t="s">
        <v>351</v>
      </c>
      <c r="P53" s="18" t="s">
        <v>352</v>
      </c>
    </row>
    <row r="54" spans="1:16" x14ac:dyDescent="0.3">
      <c r="A54" s="18">
        <v>53</v>
      </c>
      <c r="B54" s="18" t="s">
        <v>512</v>
      </c>
      <c r="C54" s="18" t="s">
        <v>513</v>
      </c>
      <c r="D54" s="18" t="s">
        <v>514</v>
      </c>
      <c r="E54" s="18" t="s">
        <v>515</v>
      </c>
      <c r="F54" s="18">
        <v>20</v>
      </c>
      <c r="G54" s="18" t="s">
        <v>321</v>
      </c>
      <c r="H54" s="18" t="s">
        <v>322</v>
      </c>
      <c r="I54" s="18" t="s">
        <v>323</v>
      </c>
      <c r="J54" s="18" t="s">
        <v>324</v>
      </c>
      <c r="K54" s="18">
        <v>5</v>
      </c>
      <c r="L54" s="19">
        <v>6192</v>
      </c>
      <c r="M54" s="18" t="s">
        <v>325</v>
      </c>
      <c r="N54" s="18" t="s">
        <v>326</v>
      </c>
      <c r="O54" s="18" t="s">
        <v>327</v>
      </c>
      <c r="P54" s="18" t="s">
        <v>328</v>
      </c>
    </row>
    <row r="55" spans="1:16" x14ac:dyDescent="0.3">
      <c r="A55" s="18">
        <v>54</v>
      </c>
      <c r="B55" s="18" t="s">
        <v>516</v>
      </c>
      <c r="C55" s="18" t="s">
        <v>517</v>
      </c>
      <c r="D55" s="18" t="s">
        <v>518</v>
      </c>
      <c r="E55" s="18" t="s">
        <v>519</v>
      </c>
      <c r="F55" s="18">
        <v>32</v>
      </c>
      <c r="G55" s="18" t="s">
        <v>349</v>
      </c>
      <c r="H55" s="18" t="s">
        <v>322</v>
      </c>
      <c r="I55" s="18" t="s">
        <v>333</v>
      </c>
      <c r="J55" s="18" t="s">
        <v>334</v>
      </c>
      <c r="K55" s="18">
        <v>20</v>
      </c>
      <c r="L55" s="19">
        <v>38445</v>
      </c>
      <c r="M55" s="18" t="s">
        <v>325</v>
      </c>
      <c r="N55" s="18" t="s">
        <v>335</v>
      </c>
      <c r="O55" s="18" t="s">
        <v>336</v>
      </c>
      <c r="P55" s="18" t="s">
        <v>337</v>
      </c>
    </row>
    <row r="56" spans="1:16" x14ac:dyDescent="0.3">
      <c r="A56" s="18">
        <v>55</v>
      </c>
      <c r="B56" s="18" t="s">
        <v>520</v>
      </c>
      <c r="C56" s="18" t="s">
        <v>521</v>
      </c>
      <c r="D56" s="18" t="s">
        <v>522</v>
      </c>
      <c r="E56" s="18"/>
      <c r="F56" s="18"/>
      <c r="G56" s="18" t="s">
        <v>332</v>
      </c>
      <c r="H56" s="18" t="s">
        <v>322</v>
      </c>
      <c r="I56" s="18" t="s">
        <v>323</v>
      </c>
      <c r="J56" s="18" t="s">
        <v>342</v>
      </c>
      <c r="K56" s="18">
        <v>6</v>
      </c>
      <c r="L56" s="19">
        <v>29627</v>
      </c>
      <c r="M56" s="18" t="s">
        <v>325</v>
      </c>
      <c r="N56" s="18" t="s">
        <v>335</v>
      </c>
      <c r="O56" s="18" t="s">
        <v>343</v>
      </c>
      <c r="P56" s="18" t="s">
        <v>344</v>
      </c>
    </row>
    <row r="57" spans="1:16" x14ac:dyDescent="0.3">
      <c r="A57" s="18">
        <v>56</v>
      </c>
      <c r="B57" s="18" t="s">
        <v>523</v>
      </c>
      <c r="C57" s="18" t="s">
        <v>524</v>
      </c>
      <c r="D57" s="18" t="s">
        <v>525</v>
      </c>
      <c r="E57" s="18"/>
      <c r="F57" s="18"/>
      <c r="G57" s="18" t="s">
        <v>332</v>
      </c>
      <c r="H57" s="18" t="s">
        <v>322</v>
      </c>
      <c r="I57" s="18" t="s">
        <v>323</v>
      </c>
      <c r="J57" s="18" t="s">
        <v>350</v>
      </c>
      <c r="K57" s="18">
        <v>16</v>
      </c>
      <c r="L57" s="19">
        <v>27791</v>
      </c>
      <c r="M57" s="18" t="s">
        <v>325</v>
      </c>
      <c r="N57" s="18" t="s">
        <v>326</v>
      </c>
      <c r="O57" s="18" t="s">
        <v>351</v>
      </c>
      <c r="P57" s="18" t="s">
        <v>352</v>
      </c>
    </row>
    <row r="58" spans="1:16" x14ac:dyDescent="0.3">
      <c r="A58" s="18">
        <v>57</v>
      </c>
      <c r="B58" s="18" t="s">
        <v>526</v>
      </c>
      <c r="C58" s="18" t="s">
        <v>527</v>
      </c>
      <c r="D58" s="18" t="s">
        <v>528</v>
      </c>
      <c r="E58" s="18" t="s">
        <v>529</v>
      </c>
      <c r="F58" s="18">
        <v>26</v>
      </c>
      <c r="G58" s="18" t="s">
        <v>321</v>
      </c>
      <c r="H58" s="18" t="s">
        <v>322</v>
      </c>
      <c r="I58" s="18" t="s">
        <v>323</v>
      </c>
      <c r="J58" s="18" t="s">
        <v>324</v>
      </c>
      <c r="K58" s="18">
        <v>5</v>
      </c>
      <c r="L58" s="19">
        <v>6192</v>
      </c>
      <c r="M58" s="18" t="s">
        <v>325</v>
      </c>
      <c r="N58" s="18" t="s">
        <v>326</v>
      </c>
      <c r="O58" s="18" t="s">
        <v>327</v>
      </c>
      <c r="P58" s="18" t="s">
        <v>328</v>
      </c>
    </row>
    <row r="59" spans="1:16" x14ac:dyDescent="0.3">
      <c r="A59" s="18">
        <v>58</v>
      </c>
      <c r="B59" s="18" t="s">
        <v>530</v>
      </c>
      <c r="C59" s="18" t="s">
        <v>531</v>
      </c>
      <c r="D59" s="18" t="s">
        <v>532</v>
      </c>
      <c r="E59" s="18"/>
      <c r="F59" s="18"/>
      <c r="G59" s="18" t="s">
        <v>332</v>
      </c>
      <c r="H59" s="18" t="s">
        <v>322</v>
      </c>
      <c r="I59" s="18" t="s">
        <v>333</v>
      </c>
      <c r="J59" s="18" t="s">
        <v>334</v>
      </c>
      <c r="K59" s="18">
        <v>20</v>
      </c>
      <c r="L59" s="19">
        <v>38445</v>
      </c>
      <c r="M59" s="18" t="s">
        <v>325</v>
      </c>
      <c r="N59" s="18" t="s">
        <v>335</v>
      </c>
      <c r="O59" s="18" t="s">
        <v>336</v>
      </c>
      <c r="P59" s="18" t="s">
        <v>337</v>
      </c>
    </row>
    <row r="60" spans="1:16" x14ac:dyDescent="0.3">
      <c r="A60" s="18">
        <v>59</v>
      </c>
      <c r="B60" s="18" t="s">
        <v>533</v>
      </c>
      <c r="C60" s="18" t="s">
        <v>534</v>
      </c>
      <c r="D60" s="18" t="s">
        <v>535</v>
      </c>
      <c r="E60" s="18"/>
      <c r="F60" s="18"/>
      <c r="G60" s="18" t="s">
        <v>332</v>
      </c>
      <c r="H60" s="18" t="s">
        <v>322</v>
      </c>
      <c r="I60" s="18" t="s">
        <v>323</v>
      </c>
      <c r="J60" s="18" t="s">
        <v>342</v>
      </c>
      <c r="K60" s="18">
        <v>6</v>
      </c>
      <c r="L60" s="19">
        <v>29627</v>
      </c>
      <c r="M60" s="18" t="s">
        <v>325</v>
      </c>
      <c r="N60" s="18" t="s">
        <v>335</v>
      </c>
      <c r="O60" s="18" t="s">
        <v>343</v>
      </c>
      <c r="P60" s="18" t="s">
        <v>344</v>
      </c>
    </row>
    <row r="61" spans="1:16" x14ac:dyDescent="0.3">
      <c r="A61" s="18">
        <v>60</v>
      </c>
      <c r="B61" s="18" t="s">
        <v>536</v>
      </c>
      <c r="C61" s="18" t="s">
        <v>537</v>
      </c>
      <c r="D61" s="18" t="s">
        <v>538</v>
      </c>
      <c r="E61" s="18"/>
      <c r="F61" s="18"/>
      <c r="G61" s="18" t="s">
        <v>332</v>
      </c>
      <c r="H61" s="18" t="s">
        <v>322</v>
      </c>
      <c r="I61" s="18" t="s">
        <v>323</v>
      </c>
      <c r="J61" s="18" t="s">
        <v>350</v>
      </c>
      <c r="K61" s="18">
        <v>16</v>
      </c>
      <c r="L61" s="19">
        <v>27791</v>
      </c>
      <c r="M61" s="18" t="s">
        <v>325</v>
      </c>
      <c r="N61" s="18" t="s">
        <v>326</v>
      </c>
      <c r="O61" s="18" t="s">
        <v>351</v>
      </c>
      <c r="P61" s="18" t="s">
        <v>352</v>
      </c>
    </row>
    <row r="62" spans="1:16" x14ac:dyDescent="0.3">
      <c r="A62" s="18">
        <v>61</v>
      </c>
      <c r="B62" s="18" t="s">
        <v>539</v>
      </c>
      <c r="C62" s="18" t="s">
        <v>540</v>
      </c>
      <c r="D62" s="18" t="s">
        <v>541</v>
      </c>
      <c r="E62" s="18"/>
      <c r="F62" s="18"/>
      <c r="G62" s="18" t="s">
        <v>332</v>
      </c>
      <c r="H62" s="18" t="s">
        <v>322</v>
      </c>
      <c r="I62" s="18" t="s">
        <v>323</v>
      </c>
      <c r="J62" s="18" t="s">
        <v>324</v>
      </c>
      <c r="K62" s="18">
        <v>5</v>
      </c>
      <c r="L62" s="19">
        <v>6192</v>
      </c>
      <c r="M62" s="18" t="s">
        <v>325</v>
      </c>
      <c r="N62" s="18" t="s">
        <v>326</v>
      </c>
      <c r="O62" s="18" t="s">
        <v>327</v>
      </c>
      <c r="P62" s="18" t="s">
        <v>328</v>
      </c>
    </row>
    <row r="63" spans="1:16" x14ac:dyDescent="0.3">
      <c r="A63" s="18">
        <v>62</v>
      </c>
      <c r="B63" s="18" t="s">
        <v>542</v>
      </c>
      <c r="C63" s="18" t="s">
        <v>543</v>
      </c>
      <c r="D63" s="18" t="s">
        <v>544</v>
      </c>
      <c r="E63" s="18"/>
      <c r="F63" s="18"/>
      <c r="G63" s="18" t="s">
        <v>332</v>
      </c>
      <c r="H63" s="18" t="s">
        <v>322</v>
      </c>
      <c r="I63" s="18" t="s">
        <v>333</v>
      </c>
      <c r="J63" s="18" t="s">
        <v>334</v>
      </c>
      <c r="K63" s="18">
        <v>20</v>
      </c>
      <c r="L63" s="19">
        <v>38445</v>
      </c>
      <c r="M63" s="18" t="s">
        <v>325</v>
      </c>
      <c r="N63" s="18" t="s">
        <v>335</v>
      </c>
      <c r="O63" s="18" t="s">
        <v>336</v>
      </c>
      <c r="P63" s="18" t="s">
        <v>337</v>
      </c>
    </row>
    <row r="64" spans="1:16" x14ac:dyDescent="0.3">
      <c r="A64" s="18">
        <v>63</v>
      </c>
      <c r="B64" s="18" t="s">
        <v>545</v>
      </c>
      <c r="C64" s="18" t="s">
        <v>546</v>
      </c>
      <c r="D64" s="18" t="s">
        <v>547</v>
      </c>
      <c r="E64" s="18"/>
      <c r="F64" s="18"/>
      <c r="G64" s="18" t="s">
        <v>332</v>
      </c>
      <c r="H64" s="18" t="s">
        <v>322</v>
      </c>
      <c r="I64" s="18" t="s">
        <v>323</v>
      </c>
      <c r="J64" s="18" t="s">
        <v>342</v>
      </c>
      <c r="K64" s="18">
        <v>6</v>
      </c>
      <c r="L64" s="19">
        <v>29627</v>
      </c>
      <c r="M64" s="18" t="s">
        <v>325</v>
      </c>
      <c r="N64" s="18" t="s">
        <v>335</v>
      </c>
      <c r="O64" s="18" t="s">
        <v>343</v>
      </c>
      <c r="P64" s="18" t="s">
        <v>344</v>
      </c>
    </row>
    <row r="65" spans="1:16" x14ac:dyDescent="0.3">
      <c r="A65" s="18">
        <v>64</v>
      </c>
      <c r="B65" s="18" t="s">
        <v>548</v>
      </c>
      <c r="C65" s="18" t="s">
        <v>549</v>
      </c>
      <c r="D65" s="18" t="s">
        <v>550</v>
      </c>
      <c r="E65" s="18"/>
      <c r="F65" s="18"/>
      <c r="G65" s="18" t="s">
        <v>332</v>
      </c>
      <c r="H65" s="18" t="s">
        <v>322</v>
      </c>
      <c r="I65" s="18" t="s">
        <v>323</v>
      </c>
      <c r="J65" s="18" t="s">
        <v>350</v>
      </c>
      <c r="K65" s="18">
        <v>16</v>
      </c>
      <c r="L65" s="19">
        <v>27791</v>
      </c>
      <c r="M65" s="18" t="s">
        <v>325</v>
      </c>
      <c r="N65" s="18" t="s">
        <v>326</v>
      </c>
      <c r="O65" s="18" t="s">
        <v>351</v>
      </c>
      <c r="P65" s="18" t="s">
        <v>352</v>
      </c>
    </row>
    <row r="66" spans="1:16" x14ac:dyDescent="0.3">
      <c r="A66" s="18">
        <v>65</v>
      </c>
      <c r="B66" s="18" t="s">
        <v>551</v>
      </c>
      <c r="C66" s="18" t="s">
        <v>552</v>
      </c>
      <c r="D66" s="18" t="s">
        <v>553</v>
      </c>
      <c r="E66" s="18" t="s">
        <v>341</v>
      </c>
      <c r="F66" s="18">
        <v>28</v>
      </c>
      <c r="G66" s="18" t="s">
        <v>321</v>
      </c>
      <c r="H66" s="18" t="s">
        <v>322</v>
      </c>
      <c r="I66" s="18" t="s">
        <v>323</v>
      </c>
      <c r="J66" s="18" t="s">
        <v>324</v>
      </c>
      <c r="K66" s="18">
        <v>5</v>
      </c>
      <c r="L66" s="19">
        <v>6192</v>
      </c>
      <c r="M66" s="18" t="s">
        <v>325</v>
      </c>
      <c r="N66" s="18" t="s">
        <v>326</v>
      </c>
      <c r="O66" s="18" t="s">
        <v>327</v>
      </c>
      <c r="P66" s="18" t="s">
        <v>328</v>
      </c>
    </row>
    <row r="67" spans="1:16" x14ac:dyDescent="0.3">
      <c r="A67" s="18">
        <v>66</v>
      </c>
      <c r="B67" s="18" t="s">
        <v>554</v>
      </c>
      <c r="C67" s="18" t="s">
        <v>555</v>
      </c>
      <c r="D67" s="18" t="s">
        <v>556</v>
      </c>
      <c r="E67" s="18" t="s">
        <v>557</v>
      </c>
      <c r="F67" s="18">
        <v>29</v>
      </c>
      <c r="G67" s="18" t="s">
        <v>321</v>
      </c>
      <c r="H67" s="18" t="s">
        <v>322</v>
      </c>
      <c r="I67" s="18" t="s">
        <v>333</v>
      </c>
      <c r="J67" s="18" t="s">
        <v>334</v>
      </c>
      <c r="K67" s="18">
        <v>20</v>
      </c>
      <c r="L67" s="19">
        <v>38445</v>
      </c>
      <c r="M67" s="18" t="s">
        <v>325</v>
      </c>
      <c r="N67" s="18" t="s">
        <v>335</v>
      </c>
      <c r="O67" s="18" t="s">
        <v>336</v>
      </c>
      <c r="P67" s="18" t="s">
        <v>337</v>
      </c>
    </row>
    <row r="68" spans="1:16" x14ac:dyDescent="0.3">
      <c r="A68" s="18">
        <v>67</v>
      </c>
      <c r="B68" s="18" t="s">
        <v>558</v>
      </c>
      <c r="C68" s="18" t="s">
        <v>559</v>
      </c>
      <c r="D68" s="18" t="s">
        <v>560</v>
      </c>
      <c r="E68" s="18" t="s">
        <v>561</v>
      </c>
      <c r="F68" s="18">
        <v>31</v>
      </c>
      <c r="G68" s="18" t="s">
        <v>349</v>
      </c>
      <c r="H68" s="18" t="s">
        <v>322</v>
      </c>
      <c r="I68" s="18" t="s">
        <v>323</v>
      </c>
      <c r="J68" s="18" t="s">
        <v>342</v>
      </c>
      <c r="K68" s="18">
        <v>6</v>
      </c>
      <c r="L68" s="19">
        <v>29627</v>
      </c>
      <c r="M68" s="18" t="s">
        <v>325</v>
      </c>
      <c r="N68" s="18" t="s">
        <v>335</v>
      </c>
      <c r="O68" s="18" t="s">
        <v>343</v>
      </c>
      <c r="P68" s="18" t="s">
        <v>344</v>
      </c>
    </row>
    <row r="69" spans="1:16" x14ac:dyDescent="0.3">
      <c r="A69" s="18">
        <v>68</v>
      </c>
      <c r="B69" s="18" t="s">
        <v>562</v>
      </c>
      <c r="C69" s="18" t="s">
        <v>563</v>
      </c>
      <c r="D69" s="18" t="s">
        <v>564</v>
      </c>
      <c r="E69" s="18"/>
      <c r="F69" s="18"/>
      <c r="G69" s="18" t="s">
        <v>332</v>
      </c>
      <c r="H69" s="18" t="s">
        <v>322</v>
      </c>
      <c r="I69" s="18" t="s">
        <v>323</v>
      </c>
      <c r="J69" s="18" t="s">
        <v>350</v>
      </c>
      <c r="K69" s="18">
        <v>16</v>
      </c>
      <c r="L69" s="19">
        <v>27791</v>
      </c>
      <c r="M69" s="18" t="s">
        <v>325</v>
      </c>
      <c r="N69" s="18" t="s">
        <v>326</v>
      </c>
      <c r="O69" s="18" t="s">
        <v>351</v>
      </c>
      <c r="P69" s="18" t="s">
        <v>352</v>
      </c>
    </row>
    <row r="70" spans="1:16" x14ac:dyDescent="0.3">
      <c r="A70" s="18">
        <v>69</v>
      </c>
      <c r="B70" s="18" t="s">
        <v>565</v>
      </c>
      <c r="C70" s="18" t="s">
        <v>566</v>
      </c>
      <c r="D70" s="18" t="s">
        <v>567</v>
      </c>
      <c r="E70" s="18"/>
      <c r="F70" s="18"/>
      <c r="G70" s="18" t="s">
        <v>332</v>
      </c>
      <c r="H70" s="18" t="s">
        <v>322</v>
      </c>
      <c r="I70" s="18" t="s">
        <v>323</v>
      </c>
      <c r="J70" s="18" t="s">
        <v>324</v>
      </c>
      <c r="K70" s="18">
        <v>5</v>
      </c>
      <c r="L70" s="19">
        <v>6192</v>
      </c>
      <c r="M70" s="18" t="s">
        <v>325</v>
      </c>
      <c r="N70" s="18" t="s">
        <v>326</v>
      </c>
      <c r="O70" s="18" t="s">
        <v>327</v>
      </c>
      <c r="P70" s="18" t="s">
        <v>328</v>
      </c>
    </row>
    <row r="71" spans="1:16" x14ac:dyDescent="0.3">
      <c r="A71" s="18">
        <v>70</v>
      </c>
      <c r="B71" s="18" t="s">
        <v>568</v>
      </c>
      <c r="C71" s="18" t="s">
        <v>569</v>
      </c>
      <c r="D71" s="18" t="s">
        <v>570</v>
      </c>
      <c r="E71" s="18"/>
      <c r="F71" s="18"/>
      <c r="G71" s="18" t="s">
        <v>332</v>
      </c>
      <c r="H71" s="18" t="s">
        <v>322</v>
      </c>
      <c r="I71" s="18" t="s">
        <v>333</v>
      </c>
      <c r="J71" s="18" t="s">
        <v>334</v>
      </c>
      <c r="K71" s="18">
        <v>20</v>
      </c>
      <c r="L71" s="19">
        <v>38445</v>
      </c>
      <c r="M71" s="18" t="s">
        <v>325</v>
      </c>
      <c r="N71" s="18" t="s">
        <v>335</v>
      </c>
      <c r="O71" s="18" t="s">
        <v>336</v>
      </c>
      <c r="P71" s="18" t="s">
        <v>337</v>
      </c>
    </row>
    <row r="72" spans="1:16" x14ac:dyDescent="0.3">
      <c r="A72" s="18">
        <v>71</v>
      </c>
      <c r="B72" s="18" t="s">
        <v>571</v>
      </c>
      <c r="C72" s="18" t="s">
        <v>572</v>
      </c>
      <c r="D72" s="18" t="s">
        <v>573</v>
      </c>
      <c r="E72" s="18"/>
      <c r="F72" s="18"/>
      <c r="G72" s="18" t="s">
        <v>332</v>
      </c>
      <c r="H72" s="18" t="s">
        <v>322</v>
      </c>
      <c r="I72" s="18" t="s">
        <v>323</v>
      </c>
      <c r="J72" s="18" t="s">
        <v>342</v>
      </c>
      <c r="K72" s="18">
        <v>6</v>
      </c>
      <c r="L72" s="19">
        <v>29627</v>
      </c>
      <c r="M72" s="18" t="s">
        <v>325</v>
      </c>
      <c r="N72" s="18" t="s">
        <v>335</v>
      </c>
      <c r="O72" s="18" t="s">
        <v>343</v>
      </c>
      <c r="P72" s="18" t="s">
        <v>344</v>
      </c>
    </row>
    <row r="73" spans="1:16" x14ac:dyDescent="0.3">
      <c r="A73" s="18">
        <v>72</v>
      </c>
      <c r="B73" s="18" t="s">
        <v>574</v>
      </c>
      <c r="C73" s="18" t="s">
        <v>575</v>
      </c>
      <c r="D73" s="18" t="s">
        <v>576</v>
      </c>
      <c r="E73" s="18"/>
      <c r="F73" s="18"/>
      <c r="G73" s="18" t="s">
        <v>332</v>
      </c>
      <c r="H73" s="18" t="s">
        <v>322</v>
      </c>
      <c r="I73" s="18" t="s">
        <v>323</v>
      </c>
      <c r="J73" s="18" t="s">
        <v>350</v>
      </c>
      <c r="K73" s="18">
        <v>16</v>
      </c>
      <c r="L73" s="19">
        <v>27791</v>
      </c>
      <c r="M73" s="18" t="s">
        <v>325</v>
      </c>
      <c r="N73" s="18" t="s">
        <v>326</v>
      </c>
      <c r="O73" s="18" t="s">
        <v>351</v>
      </c>
      <c r="P73" s="18" t="s">
        <v>352</v>
      </c>
    </row>
    <row r="74" spans="1:16" x14ac:dyDescent="0.3">
      <c r="A74" s="18">
        <v>73</v>
      </c>
      <c r="B74" s="18" t="s">
        <v>577</v>
      </c>
      <c r="C74" s="18" t="s">
        <v>578</v>
      </c>
      <c r="D74" s="18" t="s">
        <v>579</v>
      </c>
      <c r="E74" s="18"/>
      <c r="F74" s="18"/>
      <c r="G74" s="18" t="s">
        <v>332</v>
      </c>
      <c r="H74" s="18" t="s">
        <v>322</v>
      </c>
      <c r="I74" s="18" t="s">
        <v>323</v>
      </c>
      <c r="J74" s="18" t="s">
        <v>324</v>
      </c>
      <c r="K74" s="18">
        <v>5</v>
      </c>
      <c r="L74" s="19">
        <v>6192</v>
      </c>
      <c r="M74" s="18" t="s">
        <v>325</v>
      </c>
      <c r="N74" s="18" t="s">
        <v>326</v>
      </c>
      <c r="O74" s="18" t="s">
        <v>327</v>
      </c>
      <c r="P74" s="18" t="s">
        <v>328</v>
      </c>
    </row>
    <row r="75" spans="1:16" x14ac:dyDescent="0.3">
      <c r="A75" s="18">
        <v>74</v>
      </c>
      <c r="B75" s="18" t="s">
        <v>580</v>
      </c>
      <c r="C75" s="18" t="s">
        <v>581</v>
      </c>
      <c r="D75" s="18" t="s">
        <v>582</v>
      </c>
      <c r="E75" s="18" t="s">
        <v>583</v>
      </c>
      <c r="F75" s="18">
        <v>28</v>
      </c>
      <c r="G75" s="18" t="s">
        <v>321</v>
      </c>
      <c r="H75" s="18" t="s">
        <v>322</v>
      </c>
      <c r="I75" s="18" t="s">
        <v>333</v>
      </c>
      <c r="J75" s="18" t="s">
        <v>334</v>
      </c>
      <c r="K75" s="18">
        <v>20</v>
      </c>
      <c r="L75" s="19">
        <v>38445</v>
      </c>
      <c r="M75" s="18" t="s">
        <v>325</v>
      </c>
      <c r="N75" s="18" t="s">
        <v>335</v>
      </c>
      <c r="O75" s="18" t="s">
        <v>336</v>
      </c>
      <c r="P75" s="18" t="s">
        <v>337</v>
      </c>
    </row>
    <row r="76" spans="1:16" x14ac:dyDescent="0.3">
      <c r="A76" s="18">
        <v>75</v>
      </c>
      <c r="B76" s="18" t="s">
        <v>584</v>
      </c>
      <c r="C76" s="18" t="s">
        <v>585</v>
      </c>
      <c r="D76" s="18" t="s">
        <v>586</v>
      </c>
      <c r="E76" s="18"/>
      <c r="F76" s="18"/>
      <c r="G76" s="18" t="s">
        <v>332</v>
      </c>
      <c r="H76" s="18" t="s">
        <v>322</v>
      </c>
      <c r="I76" s="18" t="s">
        <v>323</v>
      </c>
      <c r="J76" s="18" t="s">
        <v>342</v>
      </c>
      <c r="K76" s="18">
        <v>6</v>
      </c>
      <c r="L76" s="19">
        <v>29627</v>
      </c>
      <c r="M76" s="18" t="s">
        <v>325</v>
      </c>
      <c r="N76" s="18" t="s">
        <v>335</v>
      </c>
      <c r="O76" s="18" t="s">
        <v>343</v>
      </c>
      <c r="P76" s="18" t="s">
        <v>344</v>
      </c>
    </row>
    <row r="77" spans="1:16" x14ac:dyDescent="0.3">
      <c r="A77" s="18">
        <v>76</v>
      </c>
      <c r="B77" s="18" t="s">
        <v>587</v>
      </c>
      <c r="C77" s="18" t="s">
        <v>588</v>
      </c>
      <c r="D77" s="18" t="s">
        <v>589</v>
      </c>
      <c r="E77" s="18"/>
      <c r="F77" s="18"/>
      <c r="G77" s="18" t="s">
        <v>332</v>
      </c>
      <c r="H77" s="18" t="s">
        <v>322</v>
      </c>
      <c r="I77" s="18" t="s">
        <v>323</v>
      </c>
      <c r="J77" s="18" t="s">
        <v>350</v>
      </c>
      <c r="K77" s="18">
        <v>16</v>
      </c>
      <c r="L77" s="19">
        <v>27791</v>
      </c>
      <c r="M77" s="18" t="s">
        <v>325</v>
      </c>
      <c r="N77" s="18" t="s">
        <v>326</v>
      </c>
      <c r="O77" s="18" t="s">
        <v>351</v>
      </c>
      <c r="P77" s="18" t="s">
        <v>352</v>
      </c>
    </row>
    <row r="78" spans="1:16" x14ac:dyDescent="0.3">
      <c r="A78" s="18">
        <v>77</v>
      </c>
      <c r="B78" s="18" t="s">
        <v>590</v>
      </c>
      <c r="C78" s="18" t="s">
        <v>591</v>
      </c>
      <c r="D78" s="18" t="s">
        <v>592</v>
      </c>
      <c r="E78" s="18"/>
      <c r="F78" s="18"/>
      <c r="G78" s="18" t="s">
        <v>332</v>
      </c>
      <c r="H78" s="18" t="s">
        <v>322</v>
      </c>
      <c r="I78" s="18" t="s">
        <v>323</v>
      </c>
      <c r="J78" s="18" t="s">
        <v>324</v>
      </c>
      <c r="K78" s="18">
        <v>5</v>
      </c>
      <c r="L78" s="19">
        <v>6192</v>
      </c>
      <c r="M78" s="18" t="s">
        <v>325</v>
      </c>
      <c r="N78" s="18" t="s">
        <v>326</v>
      </c>
      <c r="O78" s="18" t="s">
        <v>327</v>
      </c>
      <c r="P78" s="18" t="s">
        <v>328</v>
      </c>
    </row>
    <row r="79" spans="1:16" x14ac:dyDescent="0.3">
      <c r="A79" s="18">
        <v>78</v>
      </c>
      <c r="B79" s="18" t="s">
        <v>593</v>
      </c>
      <c r="C79" s="18" t="s">
        <v>594</v>
      </c>
      <c r="D79" s="18" t="s">
        <v>595</v>
      </c>
      <c r="E79" s="18"/>
      <c r="F79" s="18"/>
      <c r="G79" s="18" t="s">
        <v>332</v>
      </c>
      <c r="H79" s="18" t="s">
        <v>322</v>
      </c>
      <c r="I79" s="18" t="s">
        <v>333</v>
      </c>
      <c r="J79" s="18" t="s">
        <v>334</v>
      </c>
      <c r="K79" s="18">
        <v>20</v>
      </c>
      <c r="L79" s="19">
        <v>38445</v>
      </c>
      <c r="M79" s="18" t="s">
        <v>325</v>
      </c>
      <c r="N79" s="18" t="s">
        <v>335</v>
      </c>
      <c r="O79" s="18" t="s">
        <v>336</v>
      </c>
      <c r="P79" s="18" t="s">
        <v>337</v>
      </c>
    </row>
    <row r="80" spans="1:16" x14ac:dyDescent="0.3">
      <c r="A80" s="18">
        <v>79</v>
      </c>
      <c r="B80" s="18" t="s">
        <v>596</v>
      </c>
      <c r="C80" s="18" t="s">
        <v>597</v>
      </c>
      <c r="D80" s="18" t="s">
        <v>598</v>
      </c>
      <c r="E80" s="18" t="s">
        <v>557</v>
      </c>
      <c r="F80" s="18">
        <v>29</v>
      </c>
      <c r="G80" s="18" t="s">
        <v>321</v>
      </c>
      <c r="H80" s="18" t="s">
        <v>322</v>
      </c>
      <c r="I80" s="18" t="s">
        <v>323</v>
      </c>
      <c r="J80" s="18" t="s">
        <v>342</v>
      </c>
      <c r="K80" s="18">
        <v>6</v>
      </c>
      <c r="L80" s="19">
        <v>29627</v>
      </c>
      <c r="M80" s="18" t="s">
        <v>325</v>
      </c>
      <c r="N80" s="18" t="s">
        <v>335</v>
      </c>
      <c r="O80" s="18" t="s">
        <v>343</v>
      </c>
      <c r="P80" s="18" t="s">
        <v>344</v>
      </c>
    </row>
    <row r="81" spans="1:16" x14ac:dyDescent="0.3">
      <c r="A81" s="18">
        <v>80</v>
      </c>
      <c r="B81" s="18" t="s">
        <v>599</v>
      </c>
      <c r="C81" s="18" t="s">
        <v>600</v>
      </c>
      <c r="D81" s="18" t="s">
        <v>601</v>
      </c>
      <c r="E81" s="18" t="s">
        <v>602</v>
      </c>
      <c r="F81" s="18">
        <v>20</v>
      </c>
      <c r="G81" s="18" t="s">
        <v>321</v>
      </c>
      <c r="H81" s="18" t="s">
        <v>322</v>
      </c>
      <c r="I81" s="18" t="s">
        <v>323</v>
      </c>
      <c r="J81" s="18" t="s">
        <v>350</v>
      </c>
      <c r="K81" s="18">
        <v>16</v>
      </c>
      <c r="L81" s="19">
        <v>27791</v>
      </c>
      <c r="M81" s="18" t="s">
        <v>325</v>
      </c>
      <c r="N81" s="18" t="s">
        <v>326</v>
      </c>
      <c r="O81" s="18" t="s">
        <v>351</v>
      </c>
      <c r="P81" s="18" t="s">
        <v>352</v>
      </c>
    </row>
    <row r="82" spans="1:16" x14ac:dyDescent="0.3">
      <c r="A82" s="18">
        <v>81</v>
      </c>
      <c r="B82" s="18" t="s">
        <v>603</v>
      </c>
      <c r="C82" s="18" t="s">
        <v>604</v>
      </c>
      <c r="D82" s="18" t="s">
        <v>605</v>
      </c>
      <c r="E82" s="18"/>
      <c r="F82" s="18"/>
      <c r="G82" s="18" t="s">
        <v>332</v>
      </c>
      <c r="H82" s="18" t="s">
        <v>322</v>
      </c>
      <c r="I82" s="18" t="s">
        <v>323</v>
      </c>
      <c r="J82" s="18" t="s">
        <v>324</v>
      </c>
      <c r="K82" s="18">
        <v>5</v>
      </c>
      <c r="L82" s="19">
        <v>6192</v>
      </c>
      <c r="M82" s="18" t="s">
        <v>325</v>
      </c>
      <c r="N82" s="18" t="s">
        <v>326</v>
      </c>
      <c r="O82" s="18" t="s">
        <v>327</v>
      </c>
      <c r="P82" s="18" t="s">
        <v>328</v>
      </c>
    </row>
    <row r="83" spans="1:16" x14ac:dyDescent="0.3">
      <c r="A83" s="18">
        <v>82</v>
      </c>
      <c r="B83" s="18" t="s">
        <v>606</v>
      </c>
      <c r="C83" s="18" t="s">
        <v>607</v>
      </c>
      <c r="D83" s="18" t="s">
        <v>608</v>
      </c>
      <c r="E83" s="18"/>
      <c r="F83" s="18"/>
      <c r="G83" s="18" t="s">
        <v>332</v>
      </c>
      <c r="H83" s="18" t="s">
        <v>322</v>
      </c>
      <c r="I83" s="18" t="s">
        <v>333</v>
      </c>
      <c r="J83" s="18" t="s">
        <v>334</v>
      </c>
      <c r="K83" s="18">
        <v>20</v>
      </c>
      <c r="L83" s="19">
        <v>38445</v>
      </c>
      <c r="M83" s="18" t="s">
        <v>325</v>
      </c>
      <c r="N83" s="18" t="s">
        <v>335</v>
      </c>
      <c r="O83" s="18" t="s">
        <v>336</v>
      </c>
      <c r="P83" s="18" t="s">
        <v>337</v>
      </c>
    </row>
    <row r="84" spans="1:16" x14ac:dyDescent="0.3">
      <c r="A84" s="18">
        <v>83</v>
      </c>
      <c r="B84" s="18" t="s">
        <v>609</v>
      </c>
      <c r="C84" s="18" t="s">
        <v>610</v>
      </c>
      <c r="D84" s="18" t="s">
        <v>611</v>
      </c>
      <c r="E84" s="18" t="s">
        <v>612</v>
      </c>
      <c r="F84" s="18">
        <v>20</v>
      </c>
      <c r="G84" s="18" t="s">
        <v>321</v>
      </c>
      <c r="H84" s="18" t="s">
        <v>322</v>
      </c>
      <c r="I84" s="18" t="s">
        <v>323</v>
      </c>
      <c r="J84" s="18" t="s">
        <v>342</v>
      </c>
      <c r="K84" s="18">
        <v>6</v>
      </c>
      <c r="L84" s="19">
        <v>29627</v>
      </c>
      <c r="M84" s="18" t="s">
        <v>325</v>
      </c>
      <c r="N84" s="18" t="s">
        <v>335</v>
      </c>
      <c r="O84" s="18" t="s">
        <v>343</v>
      </c>
      <c r="P84" s="18" t="s">
        <v>344</v>
      </c>
    </row>
    <row r="85" spans="1:16" x14ac:dyDescent="0.3">
      <c r="A85" s="18">
        <v>84</v>
      </c>
      <c r="B85" s="18" t="s">
        <v>613</v>
      </c>
      <c r="C85" s="18" t="s">
        <v>614</v>
      </c>
      <c r="D85" s="18" t="s">
        <v>615</v>
      </c>
      <c r="E85" s="18" t="s">
        <v>616</v>
      </c>
      <c r="F85" s="18">
        <v>53</v>
      </c>
      <c r="G85" s="18" t="s">
        <v>480</v>
      </c>
      <c r="H85" s="18" t="s">
        <v>322</v>
      </c>
      <c r="I85" s="18" t="s">
        <v>323</v>
      </c>
      <c r="J85" s="18" t="s">
        <v>350</v>
      </c>
      <c r="K85" s="18">
        <v>16</v>
      </c>
      <c r="L85" s="19">
        <v>27791</v>
      </c>
      <c r="M85" s="18" t="s">
        <v>325</v>
      </c>
      <c r="N85" s="18" t="s">
        <v>326</v>
      </c>
      <c r="O85" s="18" t="s">
        <v>351</v>
      </c>
      <c r="P85" s="18" t="s">
        <v>352</v>
      </c>
    </row>
    <row r="86" spans="1:16" x14ac:dyDescent="0.3">
      <c r="A86" s="18">
        <v>85</v>
      </c>
      <c r="B86" s="18" t="s">
        <v>617</v>
      </c>
      <c r="C86" s="18" t="s">
        <v>618</v>
      </c>
      <c r="D86" s="18" t="s">
        <v>619</v>
      </c>
      <c r="E86" s="18" t="s">
        <v>620</v>
      </c>
      <c r="F86" s="18">
        <v>31</v>
      </c>
      <c r="G86" s="18" t="s">
        <v>349</v>
      </c>
      <c r="H86" s="18" t="s">
        <v>322</v>
      </c>
      <c r="I86" s="18" t="s">
        <v>323</v>
      </c>
      <c r="J86" s="18" t="s">
        <v>324</v>
      </c>
      <c r="K86" s="18">
        <v>5</v>
      </c>
      <c r="L86" s="19">
        <v>6192</v>
      </c>
      <c r="M86" s="18" t="s">
        <v>325</v>
      </c>
      <c r="N86" s="18" t="s">
        <v>326</v>
      </c>
      <c r="O86" s="18" t="s">
        <v>327</v>
      </c>
      <c r="P86" s="18" t="s">
        <v>328</v>
      </c>
    </row>
    <row r="87" spans="1:16" x14ac:dyDescent="0.3">
      <c r="A87" s="18">
        <v>86</v>
      </c>
      <c r="B87" s="18" t="s">
        <v>621</v>
      </c>
      <c r="C87" s="18" t="s">
        <v>622</v>
      </c>
      <c r="D87" s="18" t="s">
        <v>623</v>
      </c>
      <c r="E87" s="18" t="s">
        <v>624</v>
      </c>
      <c r="F87" s="18">
        <v>26</v>
      </c>
      <c r="G87" s="18" t="s">
        <v>321</v>
      </c>
      <c r="H87" s="18" t="s">
        <v>322</v>
      </c>
      <c r="I87" s="18" t="s">
        <v>333</v>
      </c>
      <c r="J87" s="18" t="s">
        <v>334</v>
      </c>
      <c r="K87" s="18">
        <v>20</v>
      </c>
      <c r="L87" s="19">
        <v>38445</v>
      </c>
      <c r="M87" s="18" t="s">
        <v>325</v>
      </c>
      <c r="N87" s="18" t="s">
        <v>335</v>
      </c>
      <c r="O87" s="18" t="s">
        <v>336</v>
      </c>
      <c r="P87" s="18" t="s">
        <v>337</v>
      </c>
    </row>
    <row r="88" spans="1:16" x14ac:dyDescent="0.3">
      <c r="A88" s="18">
        <v>87</v>
      </c>
      <c r="B88" s="18" t="s">
        <v>625</v>
      </c>
      <c r="C88" s="18" t="s">
        <v>626</v>
      </c>
      <c r="D88" s="18" t="s">
        <v>627</v>
      </c>
      <c r="E88" s="18" t="s">
        <v>628</v>
      </c>
      <c r="F88" s="18">
        <v>27</v>
      </c>
      <c r="G88" s="18" t="s">
        <v>321</v>
      </c>
      <c r="H88" s="18" t="s">
        <v>322</v>
      </c>
      <c r="I88" s="18" t="s">
        <v>323</v>
      </c>
      <c r="J88" s="18" t="s">
        <v>342</v>
      </c>
      <c r="K88" s="18">
        <v>6</v>
      </c>
      <c r="L88" s="19">
        <v>29627</v>
      </c>
      <c r="M88" s="18" t="s">
        <v>325</v>
      </c>
      <c r="N88" s="18" t="s">
        <v>335</v>
      </c>
      <c r="O88" s="18" t="s">
        <v>343</v>
      </c>
      <c r="P88" s="18" t="s">
        <v>344</v>
      </c>
    </row>
    <row r="89" spans="1:16" x14ac:dyDescent="0.3">
      <c r="A89" s="18">
        <v>88</v>
      </c>
      <c r="B89" s="18" t="s">
        <v>629</v>
      </c>
      <c r="C89" s="18" t="s">
        <v>630</v>
      </c>
      <c r="D89" s="18" t="s">
        <v>631</v>
      </c>
      <c r="E89" s="18"/>
      <c r="F89" s="18"/>
      <c r="G89" s="18" t="s">
        <v>332</v>
      </c>
      <c r="H89" s="18" t="s">
        <v>322</v>
      </c>
      <c r="I89" s="18" t="s">
        <v>323</v>
      </c>
      <c r="J89" s="18" t="s">
        <v>350</v>
      </c>
      <c r="K89" s="18">
        <v>16</v>
      </c>
      <c r="L89" s="19">
        <v>27791</v>
      </c>
      <c r="M89" s="18" t="s">
        <v>325</v>
      </c>
      <c r="N89" s="18" t="s">
        <v>326</v>
      </c>
      <c r="O89" s="18" t="s">
        <v>351</v>
      </c>
      <c r="P89" s="18" t="s">
        <v>352</v>
      </c>
    </row>
    <row r="90" spans="1:16" x14ac:dyDescent="0.3">
      <c r="A90" s="18">
        <v>89</v>
      </c>
      <c r="B90" s="18" t="s">
        <v>632</v>
      </c>
      <c r="C90" s="18" t="s">
        <v>633</v>
      </c>
      <c r="D90" s="18" t="s">
        <v>634</v>
      </c>
      <c r="E90" s="18"/>
      <c r="F90" s="18"/>
      <c r="G90" s="18" t="s">
        <v>332</v>
      </c>
      <c r="H90" s="18" t="s">
        <v>322</v>
      </c>
      <c r="I90" s="18" t="s">
        <v>323</v>
      </c>
      <c r="J90" s="18" t="s">
        <v>324</v>
      </c>
      <c r="K90" s="18">
        <v>5</v>
      </c>
      <c r="L90" s="19">
        <v>6192</v>
      </c>
      <c r="M90" s="18" t="s">
        <v>325</v>
      </c>
      <c r="N90" s="18" t="s">
        <v>326</v>
      </c>
      <c r="O90" s="18" t="s">
        <v>327</v>
      </c>
      <c r="P90" s="18" t="s">
        <v>328</v>
      </c>
    </row>
    <row r="91" spans="1:16" x14ac:dyDescent="0.3">
      <c r="A91" s="18">
        <v>90</v>
      </c>
      <c r="B91" s="18" t="s">
        <v>635</v>
      </c>
      <c r="C91" s="18" t="s">
        <v>636</v>
      </c>
      <c r="D91" s="18" t="s">
        <v>637</v>
      </c>
      <c r="E91" s="18"/>
      <c r="F91" s="18"/>
      <c r="G91" s="18" t="s">
        <v>332</v>
      </c>
      <c r="H91" s="18" t="s">
        <v>322</v>
      </c>
      <c r="I91" s="18" t="s">
        <v>333</v>
      </c>
      <c r="J91" s="18" t="s">
        <v>334</v>
      </c>
      <c r="K91" s="18">
        <v>20</v>
      </c>
      <c r="L91" s="19">
        <v>38445</v>
      </c>
      <c r="M91" s="18" t="s">
        <v>325</v>
      </c>
      <c r="N91" s="18" t="s">
        <v>335</v>
      </c>
      <c r="O91" s="18" t="s">
        <v>336</v>
      </c>
      <c r="P91" s="18" t="s">
        <v>337</v>
      </c>
    </row>
    <row r="92" spans="1:16" x14ac:dyDescent="0.3">
      <c r="A92" s="18">
        <v>91</v>
      </c>
      <c r="B92" s="18" t="s">
        <v>638</v>
      </c>
      <c r="C92" s="18" t="s">
        <v>639</v>
      </c>
      <c r="D92" s="18" t="s">
        <v>640</v>
      </c>
      <c r="E92" s="18"/>
      <c r="F92" s="18"/>
      <c r="G92" s="18" t="s">
        <v>332</v>
      </c>
      <c r="H92" s="18" t="s">
        <v>322</v>
      </c>
      <c r="I92" s="18" t="s">
        <v>323</v>
      </c>
      <c r="J92" s="18" t="s">
        <v>342</v>
      </c>
      <c r="K92" s="18">
        <v>6</v>
      </c>
      <c r="L92" s="19">
        <v>29627</v>
      </c>
      <c r="M92" s="18" t="s">
        <v>325</v>
      </c>
      <c r="N92" s="18" t="s">
        <v>335</v>
      </c>
      <c r="O92" s="18" t="s">
        <v>343</v>
      </c>
      <c r="P92" s="18" t="s">
        <v>344</v>
      </c>
    </row>
    <row r="93" spans="1:16" x14ac:dyDescent="0.3">
      <c r="A93" s="18">
        <v>92</v>
      </c>
      <c r="B93" s="18" t="s">
        <v>641</v>
      </c>
      <c r="C93" s="18" t="s">
        <v>642</v>
      </c>
      <c r="D93" s="18" t="s">
        <v>643</v>
      </c>
      <c r="E93" s="18" t="s">
        <v>505</v>
      </c>
      <c r="F93" s="18">
        <v>40</v>
      </c>
      <c r="G93" s="18" t="s">
        <v>360</v>
      </c>
      <c r="H93" s="18" t="s">
        <v>322</v>
      </c>
      <c r="I93" s="18" t="s">
        <v>323</v>
      </c>
      <c r="J93" s="18" t="s">
        <v>350</v>
      </c>
      <c r="K93" s="18">
        <v>16</v>
      </c>
      <c r="L93" s="19">
        <v>27791</v>
      </c>
      <c r="M93" s="18" t="s">
        <v>325</v>
      </c>
      <c r="N93" s="18" t="s">
        <v>326</v>
      </c>
      <c r="O93" s="18" t="s">
        <v>351</v>
      </c>
      <c r="P93" s="18" t="s">
        <v>352</v>
      </c>
    </row>
    <row r="94" spans="1:16" x14ac:dyDescent="0.3">
      <c r="A94" s="18">
        <v>93</v>
      </c>
      <c r="B94" s="18" t="s">
        <v>644</v>
      </c>
      <c r="C94" s="18" t="s">
        <v>645</v>
      </c>
      <c r="D94" s="18" t="s">
        <v>646</v>
      </c>
      <c r="E94" s="18" t="s">
        <v>368</v>
      </c>
      <c r="F94" s="18">
        <v>44</v>
      </c>
      <c r="G94" s="18" t="s">
        <v>360</v>
      </c>
      <c r="H94" s="18" t="s">
        <v>322</v>
      </c>
      <c r="I94" s="18" t="s">
        <v>323</v>
      </c>
      <c r="J94" s="18" t="s">
        <v>324</v>
      </c>
      <c r="K94" s="18">
        <v>5</v>
      </c>
      <c r="L94" s="19">
        <v>6192</v>
      </c>
      <c r="M94" s="18" t="s">
        <v>325</v>
      </c>
      <c r="N94" s="18" t="s">
        <v>326</v>
      </c>
      <c r="O94" s="18" t="s">
        <v>327</v>
      </c>
      <c r="P94" s="18" t="s">
        <v>328</v>
      </c>
    </row>
    <row r="95" spans="1:16" x14ac:dyDescent="0.3">
      <c r="A95" s="18">
        <v>94</v>
      </c>
      <c r="B95" s="18" t="s">
        <v>647</v>
      </c>
      <c r="C95" s="18" t="s">
        <v>648</v>
      </c>
      <c r="D95" s="18" t="s">
        <v>649</v>
      </c>
      <c r="E95" s="18" t="s">
        <v>650</v>
      </c>
      <c r="F95" s="18">
        <v>31</v>
      </c>
      <c r="G95" s="18" t="s">
        <v>349</v>
      </c>
      <c r="H95" s="18" t="s">
        <v>322</v>
      </c>
      <c r="I95" s="18" t="s">
        <v>333</v>
      </c>
      <c r="J95" s="18" t="s">
        <v>334</v>
      </c>
      <c r="K95" s="18">
        <v>20</v>
      </c>
      <c r="L95" s="19">
        <v>38445</v>
      </c>
      <c r="M95" s="18" t="s">
        <v>325</v>
      </c>
      <c r="N95" s="18" t="s">
        <v>335</v>
      </c>
      <c r="O95" s="18" t="s">
        <v>336</v>
      </c>
      <c r="P95" s="18" t="s">
        <v>337</v>
      </c>
    </row>
    <row r="96" spans="1:16" x14ac:dyDescent="0.3">
      <c r="A96" s="18">
        <v>95</v>
      </c>
      <c r="B96" s="18" t="s">
        <v>651</v>
      </c>
      <c r="C96" s="18" t="s">
        <v>652</v>
      </c>
      <c r="D96" s="18" t="s">
        <v>653</v>
      </c>
      <c r="E96" s="18"/>
      <c r="F96" s="18"/>
      <c r="G96" s="18" t="s">
        <v>332</v>
      </c>
      <c r="H96" s="18" t="s">
        <v>322</v>
      </c>
      <c r="I96" s="18" t="s">
        <v>323</v>
      </c>
      <c r="J96" s="18" t="s">
        <v>342</v>
      </c>
      <c r="K96" s="18">
        <v>6</v>
      </c>
      <c r="L96" s="19">
        <v>29627</v>
      </c>
      <c r="M96" s="18" t="s">
        <v>325</v>
      </c>
      <c r="N96" s="18" t="s">
        <v>335</v>
      </c>
      <c r="O96" s="18" t="s">
        <v>343</v>
      </c>
      <c r="P96" s="18" t="s">
        <v>344</v>
      </c>
    </row>
    <row r="97" spans="1:16" x14ac:dyDescent="0.3">
      <c r="A97" s="18">
        <v>96</v>
      </c>
      <c r="B97" s="18" t="s">
        <v>654</v>
      </c>
      <c r="C97" s="18" t="s">
        <v>655</v>
      </c>
      <c r="D97" s="18" t="s">
        <v>656</v>
      </c>
      <c r="E97" s="18" t="s">
        <v>657</v>
      </c>
      <c r="F97" s="18">
        <v>40</v>
      </c>
      <c r="G97" s="18" t="s">
        <v>360</v>
      </c>
      <c r="H97" s="18" t="s">
        <v>322</v>
      </c>
      <c r="I97" s="18" t="s">
        <v>323</v>
      </c>
      <c r="J97" s="18" t="s">
        <v>350</v>
      </c>
      <c r="K97" s="18">
        <v>16</v>
      </c>
      <c r="L97" s="19">
        <v>27791</v>
      </c>
      <c r="M97" s="18" t="s">
        <v>325</v>
      </c>
      <c r="N97" s="18" t="s">
        <v>326</v>
      </c>
      <c r="O97" s="18" t="s">
        <v>351</v>
      </c>
      <c r="P97" s="18" t="s">
        <v>352</v>
      </c>
    </row>
    <row r="98" spans="1:16" x14ac:dyDescent="0.3">
      <c r="A98" s="18">
        <v>97</v>
      </c>
      <c r="B98" s="18" t="s">
        <v>658</v>
      </c>
      <c r="C98" s="18" t="s">
        <v>659</v>
      </c>
      <c r="D98" s="18" t="s">
        <v>660</v>
      </c>
      <c r="E98" s="18"/>
      <c r="F98" s="18"/>
      <c r="G98" s="18" t="s">
        <v>332</v>
      </c>
      <c r="H98" s="18" t="s">
        <v>322</v>
      </c>
      <c r="I98" s="18" t="s">
        <v>323</v>
      </c>
      <c r="J98" s="18" t="s">
        <v>324</v>
      </c>
      <c r="K98" s="18">
        <v>5</v>
      </c>
      <c r="L98" s="19">
        <v>6192</v>
      </c>
      <c r="M98" s="18" t="s">
        <v>325</v>
      </c>
      <c r="N98" s="18" t="s">
        <v>326</v>
      </c>
      <c r="O98" s="18" t="s">
        <v>327</v>
      </c>
      <c r="P98" s="18" t="s">
        <v>328</v>
      </c>
    </row>
    <row r="99" spans="1:16" x14ac:dyDescent="0.3">
      <c r="A99" s="18">
        <v>98</v>
      </c>
      <c r="B99" s="18" t="s">
        <v>661</v>
      </c>
      <c r="C99" s="18" t="s">
        <v>662</v>
      </c>
      <c r="D99" s="18" t="s">
        <v>663</v>
      </c>
      <c r="E99" s="18"/>
      <c r="F99" s="18"/>
      <c r="G99" s="18" t="s">
        <v>332</v>
      </c>
      <c r="H99" s="18" t="s">
        <v>322</v>
      </c>
      <c r="I99" s="18" t="s">
        <v>333</v>
      </c>
      <c r="J99" s="18" t="s">
        <v>334</v>
      </c>
      <c r="K99" s="18">
        <v>20</v>
      </c>
      <c r="L99" s="19">
        <v>38445</v>
      </c>
      <c r="M99" s="18" t="s">
        <v>325</v>
      </c>
      <c r="N99" s="18" t="s">
        <v>335</v>
      </c>
      <c r="O99" s="18" t="s">
        <v>336</v>
      </c>
      <c r="P99" s="18" t="s">
        <v>337</v>
      </c>
    </row>
    <row r="100" spans="1:16" x14ac:dyDescent="0.3">
      <c r="A100" s="18">
        <v>99</v>
      </c>
      <c r="B100" s="18" t="s">
        <v>664</v>
      </c>
      <c r="C100" s="18" t="s">
        <v>665</v>
      </c>
      <c r="D100" s="18" t="s">
        <v>666</v>
      </c>
      <c r="E100" s="18" t="s">
        <v>667</v>
      </c>
      <c r="F100" s="18">
        <v>27</v>
      </c>
      <c r="G100" s="18" t="s">
        <v>321</v>
      </c>
      <c r="H100" s="18" t="s">
        <v>322</v>
      </c>
      <c r="I100" s="18" t="s">
        <v>323</v>
      </c>
      <c r="J100" s="18" t="s">
        <v>342</v>
      </c>
      <c r="K100" s="18">
        <v>6</v>
      </c>
      <c r="L100" s="19">
        <v>29627</v>
      </c>
      <c r="M100" s="18" t="s">
        <v>325</v>
      </c>
      <c r="N100" s="18" t="s">
        <v>335</v>
      </c>
      <c r="O100" s="18" t="s">
        <v>343</v>
      </c>
      <c r="P100" s="18" t="s">
        <v>344</v>
      </c>
    </row>
    <row r="101" spans="1:16" x14ac:dyDescent="0.3">
      <c r="A101" s="18">
        <v>100</v>
      </c>
      <c r="B101" s="18" t="s">
        <v>668</v>
      </c>
      <c r="C101" s="18" t="s">
        <v>669</v>
      </c>
      <c r="D101" s="18" t="s">
        <v>670</v>
      </c>
      <c r="E101" s="18"/>
      <c r="F101" s="18"/>
      <c r="G101" s="18" t="s">
        <v>332</v>
      </c>
      <c r="H101" s="18" t="s">
        <v>322</v>
      </c>
      <c r="I101" s="18" t="s">
        <v>323</v>
      </c>
      <c r="J101" s="18" t="s">
        <v>350</v>
      </c>
      <c r="K101" s="18">
        <v>16</v>
      </c>
      <c r="L101" s="19">
        <v>27791</v>
      </c>
      <c r="M101" s="18" t="s">
        <v>325</v>
      </c>
      <c r="N101" s="18" t="s">
        <v>326</v>
      </c>
      <c r="O101" s="18" t="s">
        <v>351</v>
      </c>
      <c r="P101" s="18" t="s">
        <v>352</v>
      </c>
    </row>
    <row r="102" spans="1:16" x14ac:dyDescent="0.3">
      <c r="A102" s="18">
        <v>101</v>
      </c>
      <c r="B102" s="18" t="s">
        <v>671</v>
      </c>
      <c r="C102" s="18" t="s">
        <v>672</v>
      </c>
      <c r="D102" s="18" t="s">
        <v>673</v>
      </c>
      <c r="E102" s="18" t="s">
        <v>674</v>
      </c>
      <c r="F102" s="18">
        <v>36</v>
      </c>
      <c r="G102" s="18" t="s">
        <v>349</v>
      </c>
      <c r="H102" s="18" t="s">
        <v>322</v>
      </c>
      <c r="I102" s="18" t="s">
        <v>323</v>
      </c>
      <c r="J102" s="18" t="s">
        <v>324</v>
      </c>
      <c r="K102" s="18">
        <v>5</v>
      </c>
      <c r="L102" s="19">
        <v>6192</v>
      </c>
      <c r="M102" s="18" t="s">
        <v>325</v>
      </c>
      <c r="N102" s="18" t="s">
        <v>326</v>
      </c>
      <c r="O102" s="18" t="s">
        <v>327</v>
      </c>
      <c r="P102" s="18" t="s">
        <v>328</v>
      </c>
    </row>
    <row r="103" spans="1:16" x14ac:dyDescent="0.3">
      <c r="A103" s="18">
        <v>102</v>
      </c>
      <c r="B103" s="18" t="s">
        <v>675</v>
      </c>
      <c r="C103" s="18" t="s">
        <v>676</v>
      </c>
      <c r="D103" s="18" t="s">
        <v>677</v>
      </c>
      <c r="E103" s="18"/>
      <c r="F103" s="18"/>
      <c r="G103" s="18" t="s">
        <v>332</v>
      </c>
      <c r="H103" s="18" t="s">
        <v>322</v>
      </c>
      <c r="I103" s="18" t="s">
        <v>333</v>
      </c>
      <c r="J103" s="18" t="s">
        <v>334</v>
      </c>
      <c r="K103" s="18">
        <v>20</v>
      </c>
      <c r="L103" s="19">
        <v>38445</v>
      </c>
      <c r="M103" s="18" t="s">
        <v>325</v>
      </c>
      <c r="N103" s="18" t="s">
        <v>335</v>
      </c>
      <c r="O103" s="18" t="s">
        <v>336</v>
      </c>
      <c r="P103" s="18" t="s">
        <v>337</v>
      </c>
    </row>
    <row r="104" spans="1:16" x14ac:dyDescent="0.3">
      <c r="A104" s="18">
        <v>103</v>
      </c>
      <c r="B104" s="18" t="s">
        <v>678</v>
      </c>
      <c r="C104" s="18" t="s">
        <v>679</v>
      </c>
      <c r="D104" s="18" t="s">
        <v>680</v>
      </c>
      <c r="E104" s="18"/>
      <c r="F104" s="18"/>
      <c r="G104" s="18" t="s">
        <v>332</v>
      </c>
      <c r="H104" s="18" t="s">
        <v>322</v>
      </c>
      <c r="I104" s="18" t="s">
        <v>323</v>
      </c>
      <c r="J104" s="18" t="s">
        <v>342</v>
      </c>
      <c r="K104" s="18">
        <v>6</v>
      </c>
      <c r="L104" s="19">
        <v>29627</v>
      </c>
      <c r="M104" s="18" t="s">
        <v>325</v>
      </c>
      <c r="N104" s="18" t="s">
        <v>335</v>
      </c>
      <c r="O104" s="18" t="s">
        <v>343</v>
      </c>
      <c r="P104" s="18" t="s">
        <v>344</v>
      </c>
    </row>
    <row r="105" spans="1:16" x14ac:dyDescent="0.3">
      <c r="A105" s="18">
        <v>104</v>
      </c>
      <c r="B105" s="18" t="s">
        <v>681</v>
      </c>
      <c r="C105" s="18" t="s">
        <v>682</v>
      </c>
      <c r="D105" s="18" t="s">
        <v>683</v>
      </c>
      <c r="E105" s="18"/>
      <c r="F105" s="18"/>
      <c r="G105" s="18" t="s">
        <v>332</v>
      </c>
      <c r="H105" s="18" t="s">
        <v>322</v>
      </c>
      <c r="I105" s="18" t="s">
        <v>323</v>
      </c>
      <c r="J105" s="18" t="s">
        <v>350</v>
      </c>
      <c r="K105" s="18">
        <v>16</v>
      </c>
      <c r="L105" s="19">
        <v>27791</v>
      </c>
      <c r="M105" s="18" t="s">
        <v>325</v>
      </c>
      <c r="N105" s="18" t="s">
        <v>326</v>
      </c>
      <c r="O105" s="18" t="s">
        <v>351</v>
      </c>
      <c r="P105" s="18" t="s">
        <v>352</v>
      </c>
    </row>
    <row r="106" spans="1:16" x14ac:dyDescent="0.3">
      <c r="A106" s="18">
        <v>105</v>
      </c>
      <c r="B106" s="18" t="s">
        <v>684</v>
      </c>
      <c r="C106" s="18" t="s">
        <v>685</v>
      </c>
      <c r="D106" s="18" t="s">
        <v>686</v>
      </c>
      <c r="E106" s="18"/>
      <c r="F106" s="18"/>
      <c r="G106" s="18" t="s">
        <v>332</v>
      </c>
      <c r="H106" s="18" t="s">
        <v>322</v>
      </c>
      <c r="I106" s="18" t="s">
        <v>323</v>
      </c>
      <c r="J106" s="18" t="s">
        <v>324</v>
      </c>
      <c r="K106" s="18">
        <v>5</v>
      </c>
      <c r="L106" s="19">
        <v>6192</v>
      </c>
      <c r="M106" s="18" t="s">
        <v>325</v>
      </c>
      <c r="N106" s="18" t="s">
        <v>326</v>
      </c>
      <c r="O106" s="18" t="s">
        <v>327</v>
      </c>
      <c r="P106" s="18" t="s">
        <v>328</v>
      </c>
    </row>
    <row r="107" spans="1:16" x14ac:dyDescent="0.3">
      <c r="A107" s="18">
        <v>106</v>
      </c>
      <c r="B107" s="18" t="s">
        <v>687</v>
      </c>
      <c r="C107" s="18" t="s">
        <v>688</v>
      </c>
      <c r="D107" s="18" t="s">
        <v>689</v>
      </c>
      <c r="E107" s="18"/>
      <c r="F107" s="18"/>
      <c r="G107" s="18" t="s">
        <v>332</v>
      </c>
      <c r="H107" s="18" t="s">
        <v>322</v>
      </c>
      <c r="I107" s="18" t="s">
        <v>333</v>
      </c>
      <c r="J107" s="18" t="s">
        <v>334</v>
      </c>
      <c r="K107" s="18">
        <v>20</v>
      </c>
      <c r="L107" s="19">
        <v>38445</v>
      </c>
      <c r="M107" s="18" t="s">
        <v>325</v>
      </c>
      <c r="N107" s="18" t="s">
        <v>335</v>
      </c>
      <c r="O107" s="18" t="s">
        <v>336</v>
      </c>
      <c r="P107" s="18" t="s">
        <v>337</v>
      </c>
    </row>
    <row r="108" spans="1:16" x14ac:dyDescent="0.3">
      <c r="A108" s="18">
        <v>107</v>
      </c>
      <c r="B108" s="18" t="s">
        <v>690</v>
      </c>
      <c r="C108" s="18" t="s">
        <v>691</v>
      </c>
      <c r="D108" s="18" t="s">
        <v>692</v>
      </c>
      <c r="E108" s="18"/>
      <c r="F108" s="18"/>
      <c r="G108" s="18" t="s">
        <v>332</v>
      </c>
      <c r="H108" s="18" t="s">
        <v>322</v>
      </c>
      <c r="I108" s="18" t="s">
        <v>323</v>
      </c>
      <c r="J108" s="18" t="s">
        <v>342</v>
      </c>
      <c r="K108" s="18">
        <v>6</v>
      </c>
      <c r="L108" s="19">
        <v>29627</v>
      </c>
      <c r="M108" s="18" t="s">
        <v>325</v>
      </c>
      <c r="N108" s="18" t="s">
        <v>335</v>
      </c>
      <c r="O108" s="18" t="s">
        <v>343</v>
      </c>
      <c r="P108" s="18" t="s">
        <v>344</v>
      </c>
    </row>
    <row r="109" spans="1:16" x14ac:dyDescent="0.3">
      <c r="A109" s="18">
        <v>108</v>
      </c>
      <c r="B109" s="18" t="s">
        <v>693</v>
      </c>
      <c r="C109" s="18" t="s">
        <v>694</v>
      </c>
      <c r="D109" s="18" t="s">
        <v>695</v>
      </c>
      <c r="E109" s="18" t="s">
        <v>583</v>
      </c>
      <c r="F109" s="18">
        <v>28</v>
      </c>
      <c r="G109" s="18" t="s">
        <v>321</v>
      </c>
      <c r="H109" s="18" t="s">
        <v>322</v>
      </c>
      <c r="I109" s="18" t="s">
        <v>323</v>
      </c>
      <c r="J109" s="18" t="s">
        <v>350</v>
      </c>
      <c r="K109" s="18">
        <v>16</v>
      </c>
      <c r="L109" s="19">
        <v>27791</v>
      </c>
      <c r="M109" s="18" t="s">
        <v>325</v>
      </c>
      <c r="N109" s="18" t="s">
        <v>326</v>
      </c>
      <c r="O109" s="18" t="s">
        <v>351</v>
      </c>
      <c r="P109" s="18" t="s">
        <v>352</v>
      </c>
    </row>
    <row r="110" spans="1:16" x14ac:dyDescent="0.3">
      <c r="A110" s="18">
        <v>109</v>
      </c>
      <c r="B110" s="18" t="s">
        <v>696</v>
      </c>
      <c r="C110" s="18" t="s">
        <v>697</v>
      </c>
      <c r="D110" s="18" t="s">
        <v>698</v>
      </c>
      <c r="E110" s="18" t="s">
        <v>699</v>
      </c>
      <c r="F110" s="18">
        <v>46</v>
      </c>
      <c r="G110" s="18" t="s">
        <v>360</v>
      </c>
      <c r="H110" s="18" t="s">
        <v>322</v>
      </c>
      <c r="I110" s="18" t="s">
        <v>323</v>
      </c>
      <c r="J110" s="18" t="s">
        <v>324</v>
      </c>
      <c r="K110" s="18">
        <v>5</v>
      </c>
      <c r="L110" s="19">
        <v>6192</v>
      </c>
      <c r="M110" s="18" t="s">
        <v>325</v>
      </c>
      <c r="N110" s="18" t="s">
        <v>326</v>
      </c>
      <c r="O110" s="18" t="s">
        <v>327</v>
      </c>
      <c r="P110" s="18" t="s">
        <v>328</v>
      </c>
    </row>
    <row r="111" spans="1:16" x14ac:dyDescent="0.3">
      <c r="A111" s="18">
        <v>110</v>
      </c>
      <c r="B111" s="18" t="s">
        <v>700</v>
      </c>
      <c r="C111" s="18" t="s">
        <v>701</v>
      </c>
      <c r="D111" s="18" t="s">
        <v>702</v>
      </c>
      <c r="E111" s="18" t="s">
        <v>435</v>
      </c>
      <c r="F111" s="18">
        <v>20</v>
      </c>
      <c r="G111" s="18" t="s">
        <v>321</v>
      </c>
      <c r="H111" s="18" t="s">
        <v>322</v>
      </c>
      <c r="I111" s="18" t="s">
        <v>333</v>
      </c>
      <c r="J111" s="18" t="s">
        <v>334</v>
      </c>
      <c r="K111" s="18">
        <v>20</v>
      </c>
      <c r="L111" s="19">
        <v>38445</v>
      </c>
      <c r="M111" s="18" t="s">
        <v>325</v>
      </c>
      <c r="N111" s="18" t="s">
        <v>335</v>
      </c>
      <c r="O111" s="18" t="s">
        <v>336</v>
      </c>
      <c r="P111" s="18" t="s">
        <v>337</v>
      </c>
    </row>
    <row r="112" spans="1:16" x14ac:dyDescent="0.3">
      <c r="A112" s="18">
        <v>111</v>
      </c>
      <c r="B112" s="18" t="s">
        <v>703</v>
      </c>
      <c r="C112" s="18" t="s">
        <v>704</v>
      </c>
      <c r="D112" s="18" t="s">
        <v>705</v>
      </c>
      <c r="E112" s="18"/>
      <c r="F112" s="18"/>
      <c r="G112" s="18" t="s">
        <v>332</v>
      </c>
      <c r="H112" s="18" t="s">
        <v>322</v>
      </c>
      <c r="I112" s="18" t="s">
        <v>323</v>
      </c>
      <c r="J112" s="18" t="s">
        <v>342</v>
      </c>
      <c r="K112" s="18">
        <v>6</v>
      </c>
      <c r="L112" s="19">
        <v>29627</v>
      </c>
      <c r="M112" s="18" t="s">
        <v>325</v>
      </c>
      <c r="N112" s="18" t="s">
        <v>335</v>
      </c>
      <c r="O112" s="18" t="s">
        <v>343</v>
      </c>
      <c r="P112" s="18" t="s">
        <v>344</v>
      </c>
    </row>
    <row r="113" spans="1:16" x14ac:dyDescent="0.3">
      <c r="A113" s="18">
        <v>112</v>
      </c>
      <c r="B113" s="18" t="s">
        <v>706</v>
      </c>
      <c r="C113" s="18" t="s">
        <v>707</v>
      </c>
      <c r="D113" s="18" t="s">
        <v>708</v>
      </c>
      <c r="E113" s="18"/>
      <c r="F113" s="18"/>
      <c r="G113" s="18" t="s">
        <v>332</v>
      </c>
      <c r="H113" s="18" t="s">
        <v>322</v>
      </c>
      <c r="I113" s="18" t="s">
        <v>323</v>
      </c>
      <c r="J113" s="18" t="s">
        <v>350</v>
      </c>
      <c r="K113" s="18">
        <v>16</v>
      </c>
      <c r="L113" s="19">
        <v>27791</v>
      </c>
      <c r="M113" s="18" t="s">
        <v>325</v>
      </c>
      <c r="N113" s="18" t="s">
        <v>326</v>
      </c>
      <c r="O113" s="18" t="s">
        <v>351</v>
      </c>
      <c r="P113" s="18" t="s">
        <v>352</v>
      </c>
    </row>
    <row r="114" spans="1:16" x14ac:dyDescent="0.3">
      <c r="A114" s="18">
        <v>113</v>
      </c>
      <c r="B114" s="18" t="s">
        <v>709</v>
      </c>
      <c r="C114" s="18" t="s">
        <v>710</v>
      </c>
      <c r="D114" s="18" t="s">
        <v>711</v>
      </c>
      <c r="E114" s="18" t="s">
        <v>515</v>
      </c>
      <c r="F114" s="18">
        <v>20</v>
      </c>
      <c r="G114" s="18" t="s">
        <v>321</v>
      </c>
      <c r="H114" s="18" t="s">
        <v>322</v>
      </c>
      <c r="I114" s="18" t="s">
        <v>323</v>
      </c>
      <c r="J114" s="18" t="s">
        <v>324</v>
      </c>
      <c r="K114" s="18">
        <v>5</v>
      </c>
      <c r="L114" s="19">
        <v>6192</v>
      </c>
      <c r="M114" s="18" t="s">
        <v>325</v>
      </c>
      <c r="N114" s="18" t="s">
        <v>326</v>
      </c>
      <c r="O114" s="18" t="s">
        <v>327</v>
      </c>
      <c r="P114" s="18" t="s">
        <v>328</v>
      </c>
    </row>
    <row r="115" spans="1:16" x14ac:dyDescent="0.3">
      <c r="A115" s="18">
        <v>114</v>
      </c>
      <c r="B115" s="18" t="s">
        <v>712</v>
      </c>
      <c r="C115" s="18" t="s">
        <v>713</v>
      </c>
      <c r="D115" s="18" t="s">
        <v>714</v>
      </c>
      <c r="E115" s="18" t="s">
        <v>657</v>
      </c>
      <c r="F115" s="18">
        <v>40</v>
      </c>
      <c r="G115" s="18" t="s">
        <v>360</v>
      </c>
      <c r="H115" s="18" t="s">
        <v>322</v>
      </c>
      <c r="I115" s="18" t="s">
        <v>333</v>
      </c>
      <c r="J115" s="18" t="s">
        <v>334</v>
      </c>
      <c r="K115" s="18">
        <v>20</v>
      </c>
      <c r="L115" s="19">
        <v>38445</v>
      </c>
      <c r="M115" s="18" t="s">
        <v>325</v>
      </c>
      <c r="N115" s="18" t="s">
        <v>335</v>
      </c>
      <c r="O115" s="18" t="s">
        <v>336</v>
      </c>
      <c r="P115" s="18" t="s">
        <v>337</v>
      </c>
    </row>
    <row r="116" spans="1:16" x14ac:dyDescent="0.3">
      <c r="A116" s="18">
        <v>115</v>
      </c>
      <c r="B116" s="18" t="s">
        <v>715</v>
      </c>
      <c r="C116" s="18" t="s">
        <v>716</v>
      </c>
      <c r="D116" s="18" t="s">
        <v>717</v>
      </c>
      <c r="E116" s="18"/>
      <c r="F116" s="18"/>
      <c r="G116" s="18" t="s">
        <v>332</v>
      </c>
      <c r="H116" s="18" t="s">
        <v>322</v>
      </c>
      <c r="I116" s="18" t="s">
        <v>323</v>
      </c>
      <c r="J116" s="18" t="s">
        <v>342</v>
      </c>
      <c r="K116" s="18">
        <v>6</v>
      </c>
      <c r="L116" s="19">
        <v>29627</v>
      </c>
      <c r="M116" s="18" t="s">
        <v>325</v>
      </c>
      <c r="N116" s="18" t="s">
        <v>335</v>
      </c>
      <c r="O116" s="18" t="s">
        <v>343</v>
      </c>
      <c r="P116" s="18" t="s">
        <v>344</v>
      </c>
    </row>
    <row r="117" spans="1:16" x14ac:dyDescent="0.3">
      <c r="A117" s="18">
        <v>116</v>
      </c>
      <c r="B117" s="18" t="s">
        <v>718</v>
      </c>
      <c r="C117" s="18" t="s">
        <v>719</v>
      </c>
      <c r="D117" s="18" t="s">
        <v>720</v>
      </c>
      <c r="E117" s="18"/>
      <c r="F117" s="18"/>
      <c r="G117" s="18" t="s">
        <v>332</v>
      </c>
      <c r="H117" s="18" t="s">
        <v>322</v>
      </c>
      <c r="I117" s="18" t="s">
        <v>323</v>
      </c>
      <c r="J117" s="18" t="s">
        <v>350</v>
      </c>
      <c r="K117" s="18">
        <v>16</v>
      </c>
      <c r="L117" s="19">
        <v>27791</v>
      </c>
      <c r="M117" s="18" t="s">
        <v>325</v>
      </c>
      <c r="N117" s="18" t="s">
        <v>326</v>
      </c>
      <c r="O117" s="18" t="s">
        <v>351</v>
      </c>
      <c r="P117" s="18" t="s">
        <v>352</v>
      </c>
    </row>
    <row r="118" spans="1:16" x14ac:dyDescent="0.3">
      <c r="A118" s="18">
        <v>117</v>
      </c>
      <c r="B118" s="18" t="s">
        <v>721</v>
      </c>
      <c r="C118" s="18" t="s">
        <v>722</v>
      </c>
      <c r="D118" s="18" t="s">
        <v>723</v>
      </c>
      <c r="E118" s="18" t="s">
        <v>724</v>
      </c>
      <c r="F118" s="18">
        <v>33</v>
      </c>
      <c r="G118" s="18" t="s">
        <v>349</v>
      </c>
      <c r="H118" s="18" t="s">
        <v>322</v>
      </c>
      <c r="I118" s="18" t="s">
        <v>323</v>
      </c>
      <c r="J118" s="18" t="s">
        <v>324</v>
      </c>
      <c r="K118" s="18">
        <v>5</v>
      </c>
      <c r="L118" s="19">
        <v>6192</v>
      </c>
      <c r="M118" s="18" t="s">
        <v>325</v>
      </c>
      <c r="N118" s="18" t="s">
        <v>326</v>
      </c>
      <c r="O118" s="18" t="s">
        <v>327</v>
      </c>
      <c r="P118" s="18" t="s">
        <v>328</v>
      </c>
    </row>
    <row r="119" spans="1:16" x14ac:dyDescent="0.3">
      <c r="A119" s="18">
        <v>118</v>
      </c>
      <c r="B119" s="18" t="s">
        <v>725</v>
      </c>
      <c r="C119" s="18" t="s">
        <v>726</v>
      </c>
      <c r="D119" s="18" t="s">
        <v>727</v>
      </c>
      <c r="E119" s="18"/>
      <c r="F119" s="18"/>
      <c r="G119" s="18" t="s">
        <v>332</v>
      </c>
      <c r="H119" s="18" t="s">
        <v>322</v>
      </c>
      <c r="I119" s="18" t="s">
        <v>333</v>
      </c>
      <c r="J119" s="18" t="s">
        <v>334</v>
      </c>
      <c r="K119" s="18">
        <v>20</v>
      </c>
      <c r="L119" s="19">
        <v>38445</v>
      </c>
      <c r="M119" s="18" t="s">
        <v>325</v>
      </c>
      <c r="N119" s="18" t="s">
        <v>335</v>
      </c>
      <c r="O119" s="18" t="s">
        <v>336</v>
      </c>
      <c r="P119" s="18" t="s">
        <v>337</v>
      </c>
    </row>
    <row r="120" spans="1:16" x14ac:dyDescent="0.3">
      <c r="A120" s="18">
        <v>119</v>
      </c>
      <c r="B120" s="18" t="s">
        <v>728</v>
      </c>
      <c r="C120" s="18" t="s">
        <v>729</v>
      </c>
      <c r="D120" s="18" t="s">
        <v>730</v>
      </c>
      <c r="E120" s="18"/>
      <c r="F120" s="18"/>
      <c r="G120" s="18" t="s">
        <v>332</v>
      </c>
      <c r="H120" s="18" t="s">
        <v>322</v>
      </c>
      <c r="I120" s="18" t="s">
        <v>323</v>
      </c>
      <c r="J120" s="18" t="s">
        <v>342</v>
      </c>
      <c r="K120" s="18">
        <v>6</v>
      </c>
      <c r="L120" s="19">
        <v>29627</v>
      </c>
      <c r="M120" s="18" t="s">
        <v>325</v>
      </c>
      <c r="N120" s="18" t="s">
        <v>335</v>
      </c>
      <c r="O120" s="18" t="s">
        <v>343</v>
      </c>
      <c r="P120" s="18" t="s">
        <v>344</v>
      </c>
    </row>
    <row r="121" spans="1:16" x14ac:dyDescent="0.3">
      <c r="A121" s="18">
        <v>120</v>
      </c>
      <c r="B121" s="18" t="s">
        <v>731</v>
      </c>
      <c r="C121" s="18" t="s">
        <v>732</v>
      </c>
      <c r="D121" s="18" t="s">
        <v>733</v>
      </c>
      <c r="E121" s="18"/>
      <c r="F121" s="18"/>
      <c r="G121" s="18" t="s">
        <v>332</v>
      </c>
      <c r="H121" s="18" t="s">
        <v>322</v>
      </c>
      <c r="I121" s="18" t="s">
        <v>323</v>
      </c>
      <c r="J121" s="18" t="s">
        <v>350</v>
      </c>
      <c r="K121" s="18">
        <v>16</v>
      </c>
      <c r="L121" s="19">
        <v>27791</v>
      </c>
      <c r="M121" s="18" t="s">
        <v>325</v>
      </c>
      <c r="N121" s="18" t="s">
        <v>326</v>
      </c>
      <c r="O121" s="18" t="s">
        <v>351</v>
      </c>
      <c r="P121" s="18" t="s">
        <v>352</v>
      </c>
    </row>
    <row r="122" spans="1:16" x14ac:dyDescent="0.3">
      <c r="A122" s="18">
        <v>121</v>
      </c>
      <c r="B122" s="18" t="s">
        <v>734</v>
      </c>
      <c r="C122" s="18" t="s">
        <v>735</v>
      </c>
      <c r="D122" s="18" t="s">
        <v>736</v>
      </c>
      <c r="E122" s="18"/>
      <c r="F122" s="18"/>
      <c r="G122" s="18" t="s">
        <v>332</v>
      </c>
      <c r="H122" s="18" t="s">
        <v>322</v>
      </c>
      <c r="I122" s="18" t="s">
        <v>323</v>
      </c>
      <c r="J122" s="18" t="s">
        <v>324</v>
      </c>
      <c r="K122" s="18">
        <v>5</v>
      </c>
      <c r="L122" s="19">
        <v>6192</v>
      </c>
      <c r="M122" s="18" t="s">
        <v>325</v>
      </c>
      <c r="N122" s="18" t="s">
        <v>326</v>
      </c>
      <c r="O122" s="18" t="s">
        <v>327</v>
      </c>
      <c r="P122" s="18" t="s">
        <v>328</v>
      </c>
    </row>
    <row r="123" spans="1:16" x14ac:dyDescent="0.3">
      <c r="A123" s="18">
        <v>122</v>
      </c>
      <c r="B123" s="18" t="s">
        <v>737</v>
      </c>
      <c r="C123" s="18" t="s">
        <v>738</v>
      </c>
      <c r="D123" s="18" t="s">
        <v>739</v>
      </c>
      <c r="E123" s="18"/>
      <c r="F123" s="18"/>
      <c r="G123" s="18" t="s">
        <v>332</v>
      </c>
      <c r="H123" s="18" t="s">
        <v>322</v>
      </c>
      <c r="I123" s="18" t="s">
        <v>333</v>
      </c>
      <c r="J123" s="18" t="s">
        <v>334</v>
      </c>
      <c r="K123" s="18">
        <v>20</v>
      </c>
      <c r="L123" s="19">
        <v>38445</v>
      </c>
      <c r="M123" s="18" t="s">
        <v>325</v>
      </c>
      <c r="N123" s="18" t="s">
        <v>335</v>
      </c>
      <c r="O123" s="18" t="s">
        <v>336</v>
      </c>
      <c r="P123" s="18" t="s">
        <v>337</v>
      </c>
    </row>
    <row r="124" spans="1:16" x14ac:dyDescent="0.3">
      <c r="A124" s="18">
        <v>123</v>
      </c>
      <c r="B124" s="18" t="s">
        <v>740</v>
      </c>
      <c r="C124" s="18" t="s">
        <v>741</v>
      </c>
      <c r="D124" s="18" t="s">
        <v>742</v>
      </c>
      <c r="E124" s="18"/>
      <c r="F124" s="18"/>
      <c r="G124" s="18" t="s">
        <v>332</v>
      </c>
      <c r="H124" s="18" t="s">
        <v>322</v>
      </c>
      <c r="I124" s="18" t="s">
        <v>323</v>
      </c>
      <c r="J124" s="18" t="s">
        <v>342</v>
      </c>
      <c r="K124" s="18">
        <v>6</v>
      </c>
      <c r="L124" s="19">
        <v>29627</v>
      </c>
      <c r="M124" s="18" t="s">
        <v>325</v>
      </c>
      <c r="N124" s="18" t="s">
        <v>335</v>
      </c>
      <c r="O124" s="18" t="s">
        <v>343</v>
      </c>
      <c r="P124" s="18" t="s">
        <v>344</v>
      </c>
    </row>
    <row r="125" spans="1:16" x14ac:dyDescent="0.3">
      <c r="A125" s="18">
        <v>124</v>
      </c>
      <c r="B125" s="18" t="s">
        <v>743</v>
      </c>
      <c r="C125" s="18" t="s">
        <v>744</v>
      </c>
      <c r="D125" s="18" t="s">
        <v>745</v>
      </c>
      <c r="E125" s="18"/>
      <c r="F125" s="18"/>
      <c r="G125" s="18" t="s">
        <v>332</v>
      </c>
      <c r="H125" s="18" t="s">
        <v>322</v>
      </c>
      <c r="I125" s="18" t="s">
        <v>323</v>
      </c>
      <c r="J125" s="18" t="s">
        <v>350</v>
      </c>
      <c r="K125" s="18">
        <v>16</v>
      </c>
      <c r="L125" s="19">
        <v>27791</v>
      </c>
      <c r="M125" s="18" t="s">
        <v>325</v>
      </c>
      <c r="N125" s="18" t="s">
        <v>326</v>
      </c>
      <c r="O125" s="18" t="s">
        <v>351</v>
      </c>
      <c r="P125" s="18" t="s">
        <v>352</v>
      </c>
    </row>
    <row r="126" spans="1:16" x14ac:dyDescent="0.3">
      <c r="A126" s="18">
        <v>125</v>
      </c>
      <c r="B126" s="18" t="s">
        <v>746</v>
      </c>
      <c r="C126" s="18" t="s">
        <v>747</v>
      </c>
      <c r="D126" s="18" t="s">
        <v>748</v>
      </c>
      <c r="E126" s="18"/>
      <c r="F126" s="18"/>
      <c r="G126" s="18" t="s">
        <v>332</v>
      </c>
      <c r="H126" s="18" t="s">
        <v>322</v>
      </c>
      <c r="I126" s="18" t="s">
        <v>323</v>
      </c>
      <c r="J126" s="18" t="s">
        <v>324</v>
      </c>
      <c r="K126" s="18">
        <v>5</v>
      </c>
      <c r="L126" s="19">
        <v>6192</v>
      </c>
      <c r="M126" s="18" t="s">
        <v>325</v>
      </c>
      <c r="N126" s="18" t="s">
        <v>326</v>
      </c>
      <c r="O126" s="18" t="s">
        <v>327</v>
      </c>
      <c r="P126" s="18" t="s">
        <v>328</v>
      </c>
    </row>
    <row r="127" spans="1:16" x14ac:dyDescent="0.3">
      <c r="A127" s="18">
        <v>126</v>
      </c>
      <c r="B127" s="18" t="s">
        <v>749</v>
      </c>
      <c r="C127" s="18" t="s">
        <v>750</v>
      </c>
      <c r="D127" s="18" t="s">
        <v>751</v>
      </c>
      <c r="E127" s="18"/>
      <c r="F127" s="18"/>
      <c r="G127" s="18" t="s">
        <v>332</v>
      </c>
      <c r="H127" s="18" t="s">
        <v>322</v>
      </c>
      <c r="I127" s="18" t="s">
        <v>333</v>
      </c>
      <c r="J127" s="18" t="s">
        <v>334</v>
      </c>
      <c r="K127" s="18">
        <v>20</v>
      </c>
      <c r="L127" s="19">
        <v>38445</v>
      </c>
      <c r="M127" s="18" t="s">
        <v>325</v>
      </c>
      <c r="N127" s="18" t="s">
        <v>335</v>
      </c>
      <c r="O127" s="18" t="s">
        <v>336</v>
      </c>
      <c r="P127" s="18" t="s">
        <v>337</v>
      </c>
    </row>
    <row r="128" spans="1:16" x14ac:dyDescent="0.3">
      <c r="A128" s="18">
        <v>127</v>
      </c>
      <c r="B128" s="18" t="s">
        <v>752</v>
      </c>
      <c r="C128" s="18" t="s">
        <v>753</v>
      </c>
      <c r="D128" s="18" t="s">
        <v>754</v>
      </c>
      <c r="E128" s="18"/>
      <c r="F128" s="18"/>
      <c r="G128" s="18" t="s">
        <v>332</v>
      </c>
      <c r="H128" s="18" t="s">
        <v>322</v>
      </c>
      <c r="I128" s="18" t="s">
        <v>323</v>
      </c>
      <c r="J128" s="18" t="s">
        <v>342</v>
      </c>
      <c r="K128" s="18">
        <v>6</v>
      </c>
      <c r="L128" s="19">
        <v>29627</v>
      </c>
      <c r="M128" s="18" t="s">
        <v>325</v>
      </c>
      <c r="N128" s="18" t="s">
        <v>335</v>
      </c>
      <c r="O128" s="18" t="s">
        <v>343</v>
      </c>
      <c r="P128" s="18" t="s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D282-C559-42F8-98F1-BCFDB176DB65}">
  <dimension ref="A1:D15"/>
  <sheetViews>
    <sheetView workbookViewId="0">
      <selection activeCell="C19" sqref="C19"/>
    </sheetView>
  </sheetViews>
  <sheetFormatPr defaultColWidth="8.6640625" defaultRowHeight="15.05" x14ac:dyDescent="0.3"/>
  <cols>
    <col min="1" max="1" width="41.109375" customWidth="1"/>
    <col min="2" max="2" width="60" customWidth="1"/>
    <col min="3" max="3" width="13.77734375" bestFit="1" customWidth="1"/>
    <col min="4" max="4" width="50.6640625" bestFit="1" customWidth="1"/>
  </cols>
  <sheetData>
    <row r="1" spans="1:4" ht="18.2" x14ac:dyDescent="0.35">
      <c r="A1" s="3" t="s">
        <v>755</v>
      </c>
    </row>
    <row r="2" spans="1:4" s="17" customFormat="1" x14ac:dyDescent="0.3">
      <c r="A2" s="32" t="s">
        <v>756</v>
      </c>
      <c r="B2" s="32" t="s">
        <v>757</v>
      </c>
      <c r="C2" s="32" t="s">
        <v>758</v>
      </c>
      <c r="D2" s="32" t="s">
        <v>759</v>
      </c>
    </row>
    <row r="3" spans="1:4" s="17" customFormat="1" x14ac:dyDescent="0.3">
      <c r="A3" s="20" t="s">
        <v>760</v>
      </c>
      <c r="B3" s="21" t="s">
        <v>761</v>
      </c>
      <c r="C3" s="24">
        <v>127</v>
      </c>
      <c r="D3" s="21" t="s">
        <v>762</v>
      </c>
    </row>
    <row r="4" spans="1:4" s="17" customFormat="1" x14ac:dyDescent="0.3">
      <c r="A4" s="20" t="s">
        <v>763</v>
      </c>
      <c r="B4" s="21" t="s">
        <v>761</v>
      </c>
      <c r="C4" s="24">
        <v>127</v>
      </c>
      <c r="D4" s="21" t="s">
        <v>762</v>
      </c>
    </row>
    <row r="5" spans="1:4" s="17" customFormat="1" x14ac:dyDescent="0.3">
      <c r="A5" s="20" t="s">
        <v>764</v>
      </c>
      <c r="B5" s="21" t="s">
        <v>765</v>
      </c>
      <c r="C5" s="24">
        <v>127</v>
      </c>
      <c r="D5" s="21" t="s">
        <v>766</v>
      </c>
    </row>
    <row r="6" spans="1:4" s="17" customFormat="1" x14ac:dyDescent="0.3">
      <c r="A6" s="20" t="s">
        <v>767</v>
      </c>
      <c r="B6" s="21" t="s">
        <v>768</v>
      </c>
      <c r="C6" s="24">
        <v>127</v>
      </c>
      <c r="D6" s="21" t="s">
        <v>769</v>
      </c>
    </row>
    <row r="7" spans="1:4" s="17" customFormat="1" x14ac:dyDescent="0.3">
      <c r="A7" s="20" t="s">
        <v>770</v>
      </c>
      <c r="B7" s="21" t="s">
        <v>771</v>
      </c>
      <c r="C7" s="24">
        <v>127</v>
      </c>
      <c r="D7" s="21" t="s">
        <v>772</v>
      </c>
    </row>
    <row r="8" spans="1:4" s="17" customFormat="1" x14ac:dyDescent="0.3">
      <c r="A8" s="20" t="s">
        <v>773</v>
      </c>
      <c r="B8" s="21" t="s">
        <v>774</v>
      </c>
      <c r="C8" s="24">
        <v>127</v>
      </c>
      <c r="D8" s="21" t="s">
        <v>775</v>
      </c>
    </row>
    <row r="9" spans="1:4" s="17" customFormat="1" x14ac:dyDescent="0.3">
      <c r="A9" s="20" t="s">
        <v>776</v>
      </c>
      <c r="B9" s="21" t="s">
        <v>777</v>
      </c>
      <c r="C9" s="24">
        <v>127</v>
      </c>
      <c r="D9" s="21" t="s">
        <v>778</v>
      </c>
    </row>
    <row r="10" spans="1:4" s="17" customFormat="1" x14ac:dyDescent="0.3">
      <c r="A10" s="20" t="s">
        <v>776</v>
      </c>
      <c r="B10" s="21" t="s">
        <v>779</v>
      </c>
      <c r="C10" s="24">
        <v>82</v>
      </c>
      <c r="D10" s="21" t="s">
        <v>780</v>
      </c>
    </row>
    <row r="11" spans="1:4" s="17" customFormat="1" ht="30.05" x14ac:dyDescent="0.3">
      <c r="A11" s="20" t="s">
        <v>781</v>
      </c>
      <c r="B11" s="21" t="s">
        <v>782</v>
      </c>
      <c r="C11" s="24">
        <v>127</v>
      </c>
      <c r="D11" s="21" t="s">
        <v>783</v>
      </c>
    </row>
    <row r="12" spans="1:4" s="17" customFormat="1" ht="30.05" x14ac:dyDescent="0.3">
      <c r="A12" s="20" t="s">
        <v>784</v>
      </c>
      <c r="B12" s="21" t="s">
        <v>785</v>
      </c>
      <c r="C12" s="24">
        <v>123</v>
      </c>
      <c r="D12" s="21" t="s">
        <v>786</v>
      </c>
    </row>
    <row r="13" spans="1:4" s="17" customFormat="1" x14ac:dyDescent="0.3">
      <c r="A13" s="22" t="s">
        <v>787</v>
      </c>
      <c r="B13" s="23" t="s">
        <v>788</v>
      </c>
      <c r="C13" s="25">
        <v>0</v>
      </c>
      <c r="D13" s="23" t="s">
        <v>789</v>
      </c>
    </row>
    <row r="15" spans="1:4" ht="31.3" customHeight="1" x14ac:dyDescent="0.3">
      <c r="A15" s="33" t="s">
        <v>822</v>
      </c>
      <c r="B15" s="33"/>
    </row>
  </sheetData>
  <mergeCells count="1"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C3B9-137F-4231-A48E-8B21257460A4}">
  <dimension ref="A1:C38"/>
  <sheetViews>
    <sheetView workbookViewId="0">
      <selection activeCell="D16" sqref="D16"/>
    </sheetView>
  </sheetViews>
  <sheetFormatPr defaultColWidth="8.6640625" defaultRowHeight="15.05" x14ac:dyDescent="0.3"/>
  <cols>
    <col min="1" max="1" width="44" customWidth="1"/>
    <col min="2" max="3" width="16" customWidth="1"/>
  </cols>
  <sheetData>
    <row r="1" spans="1:2" ht="18.2" x14ac:dyDescent="0.35">
      <c r="A1" s="3" t="s">
        <v>790</v>
      </c>
    </row>
    <row r="2" spans="1:2" x14ac:dyDescent="0.3">
      <c r="A2" s="26"/>
    </row>
    <row r="3" spans="1:2" x14ac:dyDescent="0.3">
      <c r="A3" s="4" t="s">
        <v>791</v>
      </c>
    </row>
    <row r="4" spans="1:2" x14ac:dyDescent="0.3">
      <c r="A4" s="5" t="s">
        <v>792</v>
      </c>
      <c r="B4" s="6">
        <f>COUNTA('Cleaned Data'!A2:A128)</f>
        <v>127</v>
      </c>
    </row>
    <row r="5" spans="1:2" x14ac:dyDescent="0.3">
      <c r="A5" s="5" t="s">
        <v>793</v>
      </c>
      <c r="B5" s="6" cm="1">
        <f t="array" ref="B5">SUMPRODUCT(('Cleaned Data'!D2:D128&lt;&gt;"")/COUNTIF('Cleaned Data'!D2:D128,'Cleaned Data'!D2:D128&amp;""))</f>
        <v>127</v>
      </c>
    </row>
    <row r="6" spans="1:2" x14ac:dyDescent="0.3">
      <c r="A6" s="5" t="s">
        <v>794</v>
      </c>
      <c r="B6" s="6" cm="1">
        <f t="array" ref="B6">SUMPRODUCT(('Cleaned Data'!P2:P128&lt;&gt;"")/COUNTIF('Cleaned Data'!P2:P128,'Cleaned Data'!P2:P128&amp;""))</f>
        <v>3.9999999999999996</v>
      </c>
    </row>
    <row r="7" spans="1:2" x14ac:dyDescent="0.3">
      <c r="A7" s="5" t="s">
        <v>795</v>
      </c>
      <c r="B7" s="7">
        <f>1-B6/B4</f>
        <v>0.96850393700787407</v>
      </c>
    </row>
    <row r="9" spans="1:2" x14ac:dyDescent="0.3">
      <c r="A9" s="4" t="s">
        <v>796</v>
      </c>
    </row>
    <row r="10" spans="1:2" x14ac:dyDescent="0.3">
      <c r="A10" s="5" t="s">
        <v>797</v>
      </c>
      <c r="B10" s="6">
        <f>COUNT('Cleaned Data'!F2:F128)</f>
        <v>45</v>
      </c>
    </row>
    <row r="11" spans="1:2" x14ac:dyDescent="0.3">
      <c r="A11" s="5" t="s">
        <v>798</v>
      </c>
      <c r="B11" s="6">
        <f>B4-B10</f>
        <v>82</v>
      </c>
    </row>
    <row r="12" spans="1:2" x14ac:dyDescent="0.3">
      <c r="A12" s="5" t="s">
        <v>799</v>
      </c>
      <c r="B12" s="7">
        <f>B10/B4</f>
        <v>0.3543307086614173</v>
      </c>
    </row>
    <row r="14" spans="1:2" x14ac:dyDescent="0.3">
      <c r="A14" s="4" t="s">
        <v>800</v>
      </c>
    </row>
    <row r="15" spans="1:2" x14ac:dyDescent="0.3">
      <c r="A15" s="5" t="s">
        <v>801</v>
      </c>
      <c r="B15" s="6">
        <f>SUM('Cleaned Data'!L2:L128)</f>
        <v>3237969</v>
      </c>
    </row>
    <row r="16" spans="1:2" x14ac:dyDescent="0.3">
      <c r="A16" s="5" t="s">
        <v>802</v>
      </c>
      <c r="B16" s="6">
        <f>AVERAGE('Cleaned Data'!L2:L128)</f>
        <v>25495.818897637797</v>
      </c>
    </row>
    <row r="17" spans="1:3" x14ac:dyDescent="0.3">
      <c r="A17" s="5" t="s">
        <v>803</v>
      </c>
      <c r="B17" s="6">
        <f>MIN('Cleaned Data'!L2:L128)</f>
        <v>6192</v>
      </c>
    </row>
    <row r="18" spans="1:3" x14ac:dyDescent="0.3">
      <c r="A18" s="5" t="s">
        <v>804</v>
      </c>
      <c r="B18" s="6">
        <f>MAX('Cleaned Data'!L2:L128)</f>
        <v>38445</v>
      </c>
    </row>
    <row r="20" spans="1:3" x14ac:dyDescent="0.3">
      <c r="A20" s="4" t="s">
        <v>821</v>
      </c>
    </row>
    <row r="21" spans="1:3" x14ac:dyDescent="0.3">
      <c r="A21" s="5" t="s">
        <v>805</v>
      </c>
      <c r="B21" s="6">
        <f>COUNTIF('Cleaned Data'!N2:N128,"web")</f>
        <v>63</v>
      </c>
    </row>
    <row r="22" spans="1:3" x14ac:dyDescent="0.3">
      <c r="A22" s="5" t="s">
        <v>806</v>
      </c>
      <c r="B22" s="6">
        <f>COUNTIF('Cleaned Data'!N2:N128,"mobile")</f>
        <v>64</v>
      </c>
    </row>
    <row r="23" spans="1:3" x14ac:dyDescent="0.3">
      <c r="A23" s="5" t="s">
        <v>807</v>
      </c>
      <c r="B23" s="6">
        <f>SUMIF('Cleaned Data'!N2:N128,"web",'Cleaned Data'!L2:L128)</f>
        <v>1059665</v>
      </c>
    </row>
    <row r="24" spans="1:3" x14ac:dyDescent="0.3">
      <c r="A24" s="5" t="s">
        <v>808</v>
      </c>
      <c r="B24" s="6">
        <f>SUMIF('Cleaned Data'!N2:N128,"mobile",'Cleaned Data'!L2:L128)</f>
        <v>2178304</v>
      </c>
    </row>
    <row r="26" spans="1:3" x14ac:dyDescent="0.3">
      <c r="A26" s="4" t="s">
        <v>809</v>
      </c>
    </row>
    <row r="27" spans="1:3" x14ac:dyDescent="0.3">
      <c r="A27" s="5" t="s">
        <v>810</v>
      </c>
      <c r="B27" s="8">
        <f>AVERAGE('Cleaned Data'!F2:F128)</f>
        <v>33.200000000000003</v>
      </c>
    </row>
    <row r="28" spans="1:3" x14ac:dyDescent="0.3">
      <c r="A28" s="5" t="s">
        <v>811</v>
      </c>
      <c r="B28" s="9">
        <f>MIN('Cleaned Data'!F2:F128)</f>
        <v>20</v>
      </c>
    </row>
    <row r="29" spans="1:3" x14ac:dyDescent="0.3">
      <c r="A29" s="5" t="s">
        <v>812</v>
      </c>
      <c r="B29" s="9">
        <f>MAX('Cleaned Data'!F2:F128)</f>
        <v>53</v>
      </c>
    </row>
    <row r="31" spans="1:3" x14ac:dyDescent="0.3">
      <c r="A31" s="4" t="s">
        <v>813</v>
      </c>
    </row>
    <row r="32" spans="1:3" x14ac:dyDescent="0.3">
      <c r="A32" s="31" t="s">
        <v>315</v>
      </c>
      <c r="B32" s="31" t="s">
        <v>814</v>
      </c>
      <c r="C32" s="31" t="s">
        <v>815</v>
      </c>
    </row>
    <row r="33" spans="1:3" x14ac:dyDescent="0.3">
      <c r="A33" s="5" t="s">
        <v>336</v>
      </c>
      <c r="B33" s="10">
        <f>COUNTIF('Cleaned Data'!O2:O128,A33)</f>
        <v>32</v>
      </c>
      <c r="C33" s="10">
        <f>SUMIF('Cleaned Data'!O2:O128,A33,'Cleaned Data'!L2:L128)</f>
        <v>1230240</v>
      </c>
    </row>
    <row r="34" spans="1:3" x14ac:dyDescent="0.3">
      <c r="A34" s="5" t="s">
        <v>343</v>
      </c>
      <c r="B34" s="10">
        <f>COUNTIF('Cleaned Data'!O2:O128,A34)</f>
        <v>32</v>
      </c>
      <c r="C34" s="10">
        <f>SUMIF('Cleaned Data'!O2:O128,A34,'Cleaned Data'!L2:L128)</f>
        <v>948064</v>
      </c>
    </row>
    <row r="35" spans="1:3" x14ac:dyDescent="0.3">
      <c r="A35" s="5" t="s">
        <v>351</v>
      </c>
      <c r="B35" s="10">
        <f>COUNTIF('Cleaned Data'!O2:O128,A35)</f>
        <v>31</v>
      </c>
      <c r="C35" s="10">
        <f>SUMIF('Cleaned Data'!O2:O128,A35,'Cleaned Data'!L2:L128)</f>
        <v>861521</v>
      </c>
    </row>
    <row r="36" spans="1:3" x14ac:dyDescent="0.3">
      <c r="A36" s="5" t="s">
        <v>327</v>
      </c>
      <c r="B36" s="10">
        <f>COUNTIF('Cleaned Data'!O2:O128,A36)</f>
        <v>32</v>
      </c>
      <c r="C36" s="10">
        <f>SUMIF('Cleaned Data'!O2:O128,A36,'Cleaned Data'!L2:L128)</f>
        <v>198144</v>
      </c>
    </row>
    <row r="38" spans="1:3" x14ac:dyDescent="0.3">
      <c r="A3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C917-0958-4C24-8399-4E179581DD3E}">
  <dimension ref="A1:Q31"/>
  <sheetViews>
    <sheetView showGridLines="0" tabSelected="1" workbookViewId="0">
      <selection activeCell="T13" sqref="T13"/>
    </sheetView>
  </sheetViews>
  <sheetFormatPr defaultColWidth="9" defaultRowHeight="15.05" x14ac:dyDescent="0.3"/>
  <cols>
    <col min="1" max="1" width="21.33203125" customWidth="1"/>
    <col min="2" max="2" width="0.21875" customWidth="1"/>
    <col min="3" max="3" width="20.109375" customWidth="1"/>
    <col min="4" max="4" width="0.21875" customWidth="1"/>
    <col min="5" max="5" width="20.6640625" customWidth="1"/>
    <col min="6" max="6" width="0.21875" customWidth="1"/>
    <col min="7" max="7" width="21.44140625" customWidth="1"/>
    <col min="8" max="8" width="0.21875" customWidth="1"/>
    <col min="9" max="9" width="22.21875" customWidth="1"/>
    <col min="10" max="10" width="4.44140625" customWidth="1"/>
    <col min="11" max="11" width="8.44140625" bestFit="1" customWidth="1"/>
    <col min="14" max="14" width="2.33203125" customWidth="1"/>
  </cols>
  <sheetData>
    <row r="1" spans="1:17" ht="18.2" x14ac:dyDescent="0.35">
      <c r="A1" s="30" t="s">
        <v>816</v>
      </c>
      <c r="B1" s="30"/>
      <c r="C1" s="30"/>
      <c r="D1" s="30"/>
      <c r="E1" s="30"/>
      <c r="F1" s="30"/>
      <c r="G1" s="30"/>
      <c r="H1" s="30"/>
      <c r="I1" s="30"/>
    </row>
    <row r="2" spans="1:17" x14ac:dyDescent="0.3">
      <c r="A2" s="12" t="s">
        <v>792</v>
      </c>
      <c r="C2" s="12" t="s">
        <v>794</v>
      </c>
      <c r="E2" s="12" t="s">
        <v>817</v>
      </c>
      <c r="G2" s="12" t="s">
        <v>818</v>
      </c>
      <c r="I2" s="12" t="s">
        <v>799</v>
      </c>
    </row>
    <row r="3" spans="1:17" ht="23.8" x14ac:dyDescent="0.45">
      <c r="A3" s="27">
        <f>COUNTA('Cleaned Data'!A2:A128)</f>
        <v>127</v>
      </c>
      <c r="C3" s="27" cm="1">
        <f t="array" ref="C3">SUMPRODUCT(('Cleaned Data'!P2:P128&lt;&gt;"")/COUNTIF('Cleaned Data'!P2:P128,'Cleaned Data'!P2:P128&amp;""))</f>
        <v>3.9999999999999996</v>
      </c>
      <c r="E3" s="27">
        <f>SUM('Cleaned Data'!L2:L128)</f>
        <v>3237969</v>
      </c>
      <c r="G3" s="27">
        <f>AVERAGE('Cleaned Data'!L2:L128)</f>
        <v>25495.818897637797</v>
      </c>
      <c r="I3" s="28">
        <f>COUNT('Cleaned Data'!F2:F128)/COUNTA('Cleaned Data'!A2:A128)</f>
        <v>0.3543307086614173</v>
      </c>
    </row>
    <row r="4" spans="1:17" ht="3.15" customHeight="1" x14ac:dyDescent="0.3"/>
    <row r="5" spans="1:17" x14ac:dyDescent="0.3">
      <c r="K5" s="31" t="s">
        <v>315</v>
      </c>
      <c r="L5" s="31" t="s">
        <v>814</v>
      </c>
      <c r="M5" s="31" t="s">
        <v>815</v>
      </c>
      <c r="O5" s="12" t="s">
        <v>311</v>
      </c>
      <c r="P5" s="12" t="s">
        <v>814</v>
      </c>
      <c r="Q5" s="12" t="s">
        <v>820</v>
      </c>
    </row>
    <row r="6" spans="1:17" x14ac:dyDescent="0.3">
      <c r="K6" s="16" t="s">
        <v>336</v>
      </c>
      <c r="L6" s="29">
        <f>COUNTIF('Cleaned Data'!$O$2:$O$128,$K6)</f>
        <v>32</v>
      </c>
      <c r="M6" s="29">
        <f>SUMIF('Cleaned Data'!$O$2:$O$128,$K6,'Cleaned Data'!$L$2:$L$128)</f>
        <v>1230240</v>
      </c>
      <c r="O6" s="15" t="str">
        <f>TEXT($Q6,"00")&amp;":00"</f>
        <v>05:00</v>
      </c>
      <c r="P6" s="14">
        <f>COUNTIF('Cleaned Data'!$K$2:$K$128,$Q6)</f>
        <v>32</v>
      </c>
      <c r="Q6" s="15">
        <v>5</v>
      </c>
    </row>
    <row r="7" spans="1:17" x14ac:dyDescent="0.3">
      <c r="K7" s="16" t="s">
        <v>343</v>
      </c>
      <c r="L7" s="29">
        <f>COUNTIF('Cleaned Data'!$O$2:$O$128,$K7)</f>
        <v>32</v>
      </c>
      <c r="M7" s="29">
        <f>SUMIF('Cleaned Data'!$O$2:$O$128,$K7,'Cleaned Data'!$L$2:$L$128)</f>
        <v>948064</v>
      </c>
      <c r="O7" s="15" t="str">
        <f>TEXT($Q7,"00")&amp;":00"</f>
        <v>06:00</v>
      </c>
      <c r="P7" s="14">
        <f>COUNTIF('Cleaned Data'!$K$2:$K$128,$Q7)</f>
        <v>32</v>
      </c>
      <c r="Q7" s="15">
        <f>Q6+1</f>
        <v>6</v>
      </c>
    </row>
    <row r="8" spans="1:17" x14ac:dyDescent="0.3">
      <c r="K8" s="16" t="s">
        <v>351</v>
      </c>
      <c r="L8" s="29">
        <f>COUNTIF('Cleaned Data'!$O$2:$O$128,$K8)</f>
        <v>31</v>
      </c>
      <c r="M8" s="29">
        <f>SUMIF('Cleaned Data'!$O$2:$O$128,$K8,'Cleaned Data'!$L$2:$L$128)</f>
        <v>861521</v>
      </c>
      <c r="O8" s="15" t="str">
        <f>TEXT($Q8,"00")&amp;":00"</f>
        <v>07:00</v>
      </c>
      <c r="P8" s="14">
        <f>COUNTIF('Cleaned Data'!$K$2:$K$128,$Q8)</f>
        <v>0</v>
      </c>
      <c r="Q8" s="15">
        <f t="shared" ref="Q8:Q21" si="0">Q7+1</f>
        <v>7</v>
      </c>
    </row>
    <row r="9" spans="1:17" x14ac:dyDescent="0.3">
      <c r="K9" s="16" t="s">
        <v>327</v>
      </c>
      <c r="L9" s="29">
        <f>COUNTIF('Cleaned Data'!$O$2:$O$128,$K9)</f>
        <v>32</v>
      </c>
      <c r="M9" s="29">
        <f>SUMIF('Cleaned Data'!$O$2:$O$128,$K9,'Cleaned Data'!$L$2:$L$128)</f>
        <v>198144</v>
      </c>
      <c r="O9" s="15" t="str">
        <f>TEXT($Q9,"00")&amp;":00"</f>
        <v>08:00</v>
      </c>
      <c r="P9" s="14">
        <f>COUNTIF('Cleaned Data'!$K$2:$K$128,$Q9)</f>
        <v>0</v>
      </c>
      <c r="Q9" s="15">
        <f t="shared" si="0"/>
        <v>8</v>
      </c>
    </row>
    <row r="10" spans="1:17" x14ac:dyDescent="0.3">
      <c r="K10" s="16"/>
      <c r="L10" s="16"/>
      <c r="M10" s="16"/>
      <c r="O10" s="15" t="str">
        <f>TEXT($Q10,"00")&amp;":00"</f>
        <v>09:00</v>
      </c>
      <c r="P10" s="14">
        <f>COUNTIF('Cleaned Data'!$K$2:$K$128,$Q10)</f>
        <v>0</v>
      </c>
      <c r="Q10" s="15">
        <f t="shared" si="0"/>
        <v>9</v>
      </c>
    </row>
    <row r="11" spans="1:17" x14ac:dyDescent="0.3">
      <c r="K11" s="31" t="s">
        <v>819</v>
      </c>
      <c r="L11" s="31" t="s">
        <v>815</v>
      </c>
      <c r="M11" s="31" t="s">
        <v>814</v>
      </c>
      <c r="O11" s="15" t="str">
        <f>TEXT($Q11,"00")&amp;":00"</f>
        <v>10:00</v>
      </c>
      <c r="P11" s="14">
        <f>COUNTIF('Cleaned Data'!$K$2:$K$128,$Q11)</f>
        <v>0</v>
      </c>
      <c r="Q11" s="15">
        <f t="shared" si="0"/>
        <v>10</v>
      </c>
    </row>
    <row r="12" spans="1:17" x14ac:dyDescent="0.3">
      <c r="K12" s="16" t="s">
        <v>326</v>
      </c>
      <c r="L12" s="29">
        <f>SUMIF('Cleaned Data'!$N$2:$N$128,$K12,'Cleaned Data'!$L$2:$L$128)</f>
        <v>1059665</v>
      </c>
      <c r="M12" s="29">
        <f>COUNTIF('Cleaned Data'!$N$2:$N$128,$K12)</f>
        <v>63</v>
      </c>
      <c r="O12" s="15" t="str">
        <f>TEXT($Q12,"00")&amp;":00"</f>
        <v>11:00</v>
      </c>
      <c r="P12" s="14">
        <f>COUNTIF('Cleaned Data'!$K$2:$K$128,$Q12)</f>
        <v>0</v>
      </c>
      <c r="Q12" s="15">
        <f t="shared" si="0"/>
        <v>11</v>
      </c>
    </row>
    <row r="13" spans="1:17" x14ac:dyDescent="0.3">
      <c r="K13" s="16" t="s">
        <v>335</v>
      </c>
      <c r="L13" s="29">
        <f>SUMIF('Cleaned Data'!$N$2:$N$128,$K13,'Cleaned Data'!$L$2:$L$128)</f>
        <v>2178304</v>
      </c>
      <c r="M13" s="29">
        <f>COUNTIF('Cleaned Data'!$N$2:$N$128,$K13)</f>
        <v>64</v>
      </c>
      <c r="O13" s="15" t="str">
        <f>TEXT($Q13,"00")&amp;":00"</f>
        <v>12:00</v>
      </c>
      <c r="P13" s="14">
        <f>COUNTIF('Cleaned Data'!$K$2:$K$128,$Q13)</f>
        <v>0</v>
      </c>
      <c r="Q13" s="15">
        <f t="shared" si="0"/>
        <v>12</v>
      </c>
    </row>
    <row r="14" spans="1:17" x14ac:dyDescent="0.3">
      <c r="K14" s="16"/>
      <c r="L14" s="16"/>
      <c r="M14" s="16"/>
      <c r="O14" s="15" t="str">
        <f>TEXT($Q14,"00")&amp;":00"</f>
        <v>13:00</v>
      </c>
      <c r="P14" s="14">
        <f>COUNTIF('Cleaned Data'!$K$2:$K$128,$Q14)</f>
        <v>0</v>
      </c>
      <c r="Q14" s="15">
        <f t="shared" si="0"/>
        <v>13</v>
      </c>
    </row>
    <row r="15" spans="1:17" x14ac:dyDescent="0.3">
      <c r="K15" s="31" t="s">
        <v>307</v>
      </c>
      <c r="L15" s="31" t="s">
        <v>814</v>
      </c>
      <c r="M15" s="16"/>
      <c r="O15" s="15" t="str">
        <f>TEXT($Q15,"00")&amp;":00"</f>
        <v>14:00</v>
      </c>
      <c r="P15" s="14">
        <f>COUNTIF('Cleaned Data'!$K$2:$K$128,$Q15)</f>
        <v>0</v>
      </c>
      <c r="Q15" s="15">
        <f t="shared" si="0"/>
        <v>14</v>
      </c>
    </row>
    <row r="16" spans="1:17" x14ac:dyDescent="0.3">
      <c r="K16" s="16" t="s">
        <v>321</v>
      </c>
      <c r="L16" s="29">
        <f>COUNTIF('Cleaned Data'!$G$2:$G$128,$K16)</f>
        <v>19</v>
      </c>
      <c r="M16" s="16"/>
      <c r="O16" s="15" t="str">
        <f>TEXT($Q16,"00")&amp;":00"</f>
        <v>15:00</v>
      </c>
      <c r="P16" s="14">
        <f>COUNTIF('Cleaned Data'!$K$2:$K$128,$Q16)</f>
        <v>0</v>
      </c>
      <c r="Q16" s="15">
        <f t="shared" si="0"/>
        <v>15</v>
      </c>
    </row>
    <row r="17" spans="1:17" ht="16.899999999999999" customHeight="1" x14ac:dyDescent="0.3">
      <c r="K17" s="16" t="s">
        <v>349</v>
      </c>
      <c r="L17" s="29">
        <f>COUNTIF('Cleaned Data'!$G$2:$G$128,$K17)</f>
        <v>12</v>
      </c>
      <c r="M17" s="16"/>
      <c r="O17" s="15" t="str">
        <f>TEXT($Q17,"00")&amp;":00"</f>
        <v>16:00</v>
      </c>
      <c r="P17" s="14">
        <f>COUNTIF('Cleaned Data'!$K$2:$K$128,$Q17)</f>
        <v>31</v>
      </c>
      <c r="Q17" s="15">
        <f t="shared" si="0"/>
        <v>16</v>
      </c>
    </row>
    <row r="18" spans="1:17" x14ac:dyDescent="0.3">
      <c r="K18" s="16" t="s">
        <v>360</v>
      </c>
      <c r="L18" s="29">
        <f>COUNTIF('Cleaned Data'!$G$2:$G$128,$K18)</f>
        <v>12</v>
      </c>
      <c r="M18" s="16"/>
      <c r="O18" s="15" t="str">
        <f>TEXT($Q18,"00")&amp;":00"</f>
        <v>17:00</v>
      </c>
      <c r="P18" s="14">
        <f>COUNTIF('Cleaned Data'!$K$2:$K$128,$Q18)</f>
        <v>0</v>
      </c>
      <c r="Q18" s="15">
        <f t="shared" si="0"/>
        <v>17</v>
      </c>
    </row>
    <row r="19" spans="1:17" x14ac:dyDescent="0.3">
      <c r="K19" s="16" t="s">
        <v>480</v>
      </c>
      <c r="L19" s="29">
        <f>COUNTIF('Cleaned Data'!$G$2:$G$128,$K19)</f>
        <v>2</v>
      </c>
      <c r="M19" s="16"/>
      <c r="O19" s="15" t="str">
        <f>TEXT($Q19,"00")&amp;":00"</f>
        <v>18:00</v>
      </c>
      <c r="P19" s="14">
        <f>COUNTIF('Cleaned Data'!$K$2:$K$128,$Q19)</f>
        <v>0</v>
      </c>
      <c r="Q19" s="15">
        <f t="shared" si="0"/>
        <v>18</v>
      </c>
    </row>
    <row r="20" spans="1:17" x14ac:dyDescent="0.3">
      <c r="K20" s="16" t="s">
        <v>332</v>
      </c>
      <c r="L20" s="29">
        <f>COUNTIF('Cleaned Data'!$G$2:$G$128,$K20)</f>
        <v>82</v>
      </c>
      <c r="M20" s="16"/>
      <c r="O20" s="15" t="str">
        <f>TEXT($Q20,"00")&amp;":00"</f>
        <v>19:00</v>
      </c>
      <c r="P20" s="14">
        <f>COUNTIF('Cleaned Data'!$K$2:$K$128,$Q20)</f>
        <v>0</v>
      </c>
      <c r="Q20" s="15">
        <f t="shared" si="0"/>
        <v>19</v>
      </c>
    </row>
    <row r="21" spans="1:17" x14ac:dyDescent="0.3">
      <c r="O21" s="15" t="str">
        <f>TEXT($Q21,"00")&amp;":00"</f>
        <v>20:00</v>
      </c>
      <c r="P21" s="14">
        <f>COUNTIF('Cleaned Data'!$K$2:$K$128,$Q21)</f>
        <v>32</v>
      </c>
      <c r="Q21" s="15">
        <f t="shared" si="0"/>
        <v>20</v>
      </c>
    </row>
    <row r="31" spans="1:17" x14ac:dyDescent="0.3">
      <c r="A31" s="13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Data Quality Log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Adekunle Agbaje</dc:creator>
  <cp:lastModifiedBy>Adekunle Agbaje</cp:lastModifiedBy>
  <dcterms:created xsi:type="dcterms:W3CDTF">2026-07-31T19:15:57Z</dcterms:created>
  <dcterms:modified xsi:type="dcterms:W3CDTF">2026-08-21T09:58:06Z</dcterms:modified>
</cp:coreProperties>
</file>